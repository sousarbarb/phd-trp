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sousa\Dev\phd-trp\data\literature\bib\data-extraction\"/>
    </mc:Choice>
  </mc:AlternateContent>
  <xr:revisionPtr revIDLastSave="0" documentId="13_ncr:1_{646CD74B-89AF-4112-A6DD-949F1D67EED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 extraction items" sheetId="1" r:id="rId1"/>
    <sheet name="data_dynamic" sheetId="6" r:id="rId2"/>
  </sheets>
  <definedNames>
    <definedName name="_xlcn.WorksheetConnection_data_article.xlsxdata1" hidden="1">data</definedName>
    <definedName name="_xlcn.WorksheetConnection_data_article.xlsxincluded_all_short_check1" hidden="1">included_all_short_check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0" i="6" l="1"/>
  <c r="N10" i="6"/>
  <c r="O10" i="6"/>
  <c r="AJ5" i="6"/>
  <c r="AJ6" i="6"/>
  <c r="AJ7" i="6"/>
  <c r="AJ8" i="6"/>
  <c r="AJ9" i="6"/>
  <c r="AI5" i="6"/>
  <c r="AI6" i="6"/>
  <c r="AI7" i="6"/>
  <c r="AI8" i="6"/>
  <c r="AI9" i="6"/>
  <c r="AF6" i="6"/>
  <c r="AF5" i="6"/>
  <c r="AF7" i="6"/>
  <c r="AF8" i="6"/>
  <c r="AF9" i="6"/>
  <c r="AG6" i="6"/>
  <c r="AG5" i="6"/>
  <c r="AG7" i="6"/>
  <c r="AG8" i="6"/>
  <c r="AG9" i="6"/>
  <c r="AE5" i="6"/>
  <c r="AE6" i="6"/>
  <c r="AE7" i="6"/>
  <c r="AE8" i="6"/>
  <c r="AE9" i="6"/>
  <c r="AH7" i="6" l="1"/>
  <c r="AH6" i="6"/>
  <c r="AH9" i="6"/>
  <c r="AH8" i="6"/>
  <c r="AH5" i="6"/>
  <c r="G10" i="6"/>
  <c r="H10" i="6"/>
  <c r="I10" i="6"/>
  <c r="J10" i="6"/>
  <c r="F10" i="6"/>
  <c r="F1" i="6" l="1"/>
  <c r="G1" i="6" s="1"/>
  <c r="H1" i="6" s="1"/>
  <c r="I1" i="6" s="1"/>
  <c r="J1" i="6" s="1"/>
  <c r="K1" i="6" s="1"/>
  <c r="L1" i="6" l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3CF9A90-B576-436D-A37A-B8015D3A3489}" name="WorksheetConnection_data_article.xlsx!data" type="102" refreshedVersion="8" minRefreshableVersion="5">
    <extLst>
      <ext xmlns:x15="http://schemas.microsoft.com/office/spreadsheetml/2010/11/main" uri="{DE250136-89BD-433C-8126-D09CA5730AF9}">
        <x15:connection id="data">
          <x15:rangePr sourceName="_xlcn.WorksheetConnection_data_article.xlsxdata1"/>
        </x15:connection>
      </ext>
    </extLst>
  </connection>
  <connection id="2" xr16:uid="{6D923C13-4C7F-4CA0-9FDD-02676ED73225}" name="WorksheetConnection_data_article.xlsx!included_all_short_check" type="102" refreshedVersion="8" minRefreshableVersion="5">
    <extLst>
      <ext xmlns:x15="http://schemas.microsoft.com/office/spreadsheetml/2010/11/main" uri="{DE250136-89BD-433C-8126-D09CA5730AF9}">
        <x15:connection id="included_all_short_check">
          <x15:rangePr sourceName="_xlcn.WorksheetConnection_data_article.xlsxincluded_all_short_check1"/>
        </x15:connection>
      </ext>
    </extLst>
  </connection>
</connections>
</file>

<file path=xl/sharedStrings.xml><?xml version="1.0" encoding="utf-8"?>
<sst xmlns="http://schemas.openxmlformats.org/spreadsheetml/2006/main" count="147" uniqueCount="123">
  <si>
    <t>title</t>
  </si>
  <si>
    <t>author</t>
  </si>
  <si>
    <t>year</t>
  </si>
  <si>
    <t>doi</t>
  </si>
  <si>
    <t>url</t>
  </si>
  <si>
    <t>index</t>
  </si>
  <si>
    <t>name</t>
  </si>
  <si>
    <t>details</t>
  </si>
  <si>
    <t>DE1</t>
  </si>
  <si>
    <t>DE2</t>
  </si>
  <si>
    <t>DE3</t>
  </si>
  <si>
    <t>Long-term considerations</t>
  </si>
  <si>
    <t>DE4</t>
  </si>
  <si>
    <t>DE5</t>
  </si>
  <si>
    <t>DE6</t>
  </si>
  <si>
    <t>DE7</t>
  </si>
  <si>
    <t>DE8</t>
  </si>
  <si>
    <t>DE9</t>
  </si>
  <si>
    <t>DE10</t>
  </si>
  <si>
    <t>DE11</t>
  </si>
  <si>
    <t>DE12</t>
  </si>
  <si>
    <t>Sensory setup</t>
  </si>
  <si>
    <t>Multi-robot</t>
  </si>
  <si>
    <t>Environment and domain</t>
  </si>
  <si>
    <t>Evaluation metrics</t>
  </si>
  <si>
    <t>Datasets</t>
  </si>
  <si>
    <t>DE1: long-term</t>
  </si>
  <si>
    <t>ground-truth</t>
  </si>
  <si>
    <t>(km)</t>
  </si>
  <si>
    <t>(d/m/y)</t>
  </si>
  <si>
    <t>(h)</t>
  </si>
  <si>
    <t xml:space="preserve">      total dist.</t>
  </si>
  <si>
    <t xml:space="preserve">      path</t>
  </si>
  <si>
    <t xml:space="preserve">      total time</t>
  </si>
  <si>
    <t xml:space="preserve">      time interv.</t>
  </si>
  <si>
    <t>x</t>
  </si>
  <si>
    <t>index (col):</t>
  </si>
  <si>
    <t>DE5:</t>
  </si>
  <si>
    <t>D8:</t>
  </si>
  <si>
    <t>DE4:</t>
  </si>
  <si>
    <t>localization</t>
  </si>
  <si>
    <t>mapping</t>
  </si>
  <si>
    <t>DE3:</t>
  </si>
  <si>
    <t>DE2:</t>
  </si>
  <si>
    <t>DE9:</t>
  </si>
  <si>
    <t>D10: experiments dist + time</t>
  </si>
  <si>
    <t xml:space="preserve">      appearance</t>
  </si>
  <si>
    <t xml:space="preserve">      dynamic</t>
  </si>
  <si>
    <t xml:space="preserve">      sparsity</t>
  </si>
  <si>
    <t xml:space="preserve">      multi-session</t>
  </si>
  <si>
    <t xml:space="preserve">      computational</t>
  </si>
  <si>
    <t xml:space="preserve">      multi-robot</t>
  </si>
  <si>
    <t xml:space="preserve">      offline</t>
  </si>
  <si>
    <t xml:space="preserve">      online</t>
  </si>
  <si>
    <t xml:space="preserve">      indoor</t>
  </si>
  <si>
    <t xml:space="preserve">      outdoor</t>
  </si>
  <si>
    <t xml:space="preserve">      air</t>
  </si>
  <si>
    <t xml:space="preserve">      ground</t>
  </si>
  <si>
    <t xml:space="preserve">      water</t>
  </si>
  <si>
    <t xml:space="preserve">      exp self-acq</t>
  </si>
  <si>
    <t>-</t>
  </si>
  <si>
    <t>DE6:</t>
  </si>
  <si>
    <t>environ + domain</t>
  </si>
  <si>
    <t>D11:</t>
  </si>
  <si>
    <t>datasets</t>
  </si>
  <si>
    <t>DE7:</t>
  </si>
  <si>
    <t>sensor</t>
  </si>
  <si>
    <t>metrics</t>
  </si>
  <si>
    <t>D12:</t>
  </si>
  <si>
    <t>gt sparsity</t>
  </si>
  <si>
    <t>vo+key</t>
  </si>
  <si>
    <t>ba+key</t>
  </si>
  <si>
    <t>vo+ba+key</t>
  </si>
  <si>
    <t>[1]</t>
  </si>
  <si>
    <t>[2]</t>
  </si>
  <si>
    <t>[3]</t>
  </si>
  <si>
    <t>[4]</t>
  </si>
  <si>
    <t>check?</t>
  </si>
  <si>
    <t>[5]</t>
  </si>
  <si>
    <t>odo+camera+imu</t>
  </si>
  <si>
    <t>checked</t>
  </si>
  <si>
    <t>to check</t>
  </si>
  <si>
    <t>img matching</t>
  </si>
  <si>
    <t>[6]</t>
  </si>
  <si>
    <t>Localization</t>
  </si>
  <si>
    <t>Mapping</t>
  </si>
  <si>
    <t>Execution mode</t>
  </si>
  <si>
    <t>Non-public experiments</t>
  </si>
  <si>
    <t>Ground-truth</t>
  </si>
  <si>
    <t>Distance and time characteristics</t>
  </si>
  <si>
    <t>which metrics are used for evaluation: average traveled error (ATE), pose error (along time, mean, std), execution time, memory, precision-recall, f-score, confusion matrix…</t>
  </si>
  <si>
    <t>if and which public datasets are used in the experiments: KITTI, Oxford RobotCar, Nordlandsbeen, MIT Stata Center, Intel</t>
  </si>
  <si>
    <t>how ground-truth for non-public data is obtained or its type, if available: external tracking system, GPS, SLAM-based, manual (annotation, labeling, manual correction, measures, …)</t>
  </si>
  <si>
    <t>relative to the non-public experiments if available, as follows: total distance (km) of the non-public experiments; path (km), in the case of repetitive paths; total time (h) in terms of continuous operation; time interval (day/week/month/year, or d/w/m/y) between the first and the last run</t>
  </si>
  <si>
    <t>if the authors performed experiments or tests with non-public data</t>
  </si>
  <si>
    <t>which sensors considered in the methodologies: wheel odometry, IMU, laser (2D/3D), camera (monocular / stereo / omnidirectional), sonar, radar, GPS, or a combination of the previous sensors</t>
  </si>
  <si>
    <t>type of environment (indoor, outdoor) and domains (air, ground, water) tested with the proposed methodologies</t>
  </si>
  <si>
    <t>offline, online, if requires both, or if no information on this item: if "online", assumed that it is able to execute the algorithm both online and offline independently; "both" means that the method requires an offline computation and also an online one (dependent on each other)</t>
  </si>
  <si>
    <t>if the proposed methodologies consider multi-robot systems: yes / no</t>
  </si>
  <si>
    <t>type of the map. focused on how new information is added to the map the type of information: grid, features, topological (graph SLAM, experience maps), database (images, global features, …)</t>
  </si>
  <si>
    <t>how the robot localizes itself and the type of localizer: Bayesian, particle filter, feature matching, point cloud matching, ...</t>
  </si>
  <si>
    <t>long-term factors the works consider in their proposed approach and experiments: appearance - varying conditions, appearance changes, … | dynamics - environment dynamics, dynamic elements | …, sparsity - map pruning, redundant data removal, ... | multi-session - map management | computational - memory management, efficiency, ...</t>
  </si>
  <si>
    <t>Accurate RGB-D SLAM in dynamic environments based on dynamic visual feature removal</t>
  </si>
  <si>
    <t>C. Liu and J. Qin and S. Wang and L. Yu and Y. Wang</t>
  </si>
  <si>
    <t>10.1007/s11432-021-3425-8</t>
  </si>
  <si>
    <t>https://doi.org/10.1007/s11432-021-3425-8</t>
  </si>
  <si>
    <t>Feature Based Multi-Hypothesis Map Representation for Localization in Non-Static Environments</t>
  </si>
  <si>
    <t>K. Nielsen and G. Hendeby</t>
  </si>
  <si>
    <t>10.23919/FUSION49751.2022.9841255</t>
  </si>
  <si>
    <t>https://doi.org/10.23919/FUSION49751.2022.9841255</t>
  </si>
  <si>
    <t>Ground Enhanced RGB-D SLAM for Dynamic Environments</t>
  </si>
  <si>
    <t>R. Guo and X. Liu</t>
  </si>
  <si>
    <t>10.1109/ROBIO54168.2021.9739362</t>
  </si>
  <si>
    <t>https://doi.org/10.1109/ROBIO54168.2021.9739362</t>
  </si>
  <si>
    <t>Learning Spatiotemporal Occupancy Grid Maps for Lifelong Navigation in Dynamic Scenes</t>
  </si>
  <si>
    <t>H. Thomas and M. G. D. S. Aurin and J. Zhang and T. D. Barfoot</t>
  </si>
  <si>
    <t>10.1109/ICRA46639.2022.9812297</t>
  </si>
  <si>
    <t>https://doi.org/10.1109/ICRA46639.2022.9812297</t>
  </si>
  <si>
    <t>PlaneSDF-Based Change Detection for Long-Term Dense Mapping</t>
  </si>
  <si>
    <t>J. Fu and C. Lin and Y. Taguchi and A. Cohen and Y. Zhang and S. Mylabathula and J. J. Leonard</t>
  </si>
  <si>
    <t>10.1109/LRA.2022.3191794</t>
  </si>
  <si>
    <t>https://doi.org/10.1109/LRA.2022.3191794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</si>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</sst>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name val="Calibri"/>
      <family val="2"/>
      <scheme val="minor"/>
    </font>
    <font>
      <u/>
      <sz val="8"/>
      <color theme="10"/>
      <name val="Arial"/>
      <family val="2"/>
    </font>
    <font>
      <i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 textRotation="90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3" fillId="0" borderId="9" xfId="0" applyFont="1" applyBorder="1" applyAlignment="1">
      <alignment horizontal="left"/>
    </xf>
    <xf numFmtId="0" fontId="3" fillId="0" borderId="9" xfId="0" applyFont="1" applyBorder="1" applyAlignment="1">
      <alignment horizontal="center" textRotation="90"/>
    </xf>
    <xf numFmtId="0" fontId="3" fillId="0" borderId="6" xfId="0" applyFont="1" applyBorder="1" applyAlignment="1">
      <alignment horizontal="center" textRotation="90"/>
    </xf>
    <xf numFmtId="0" fontId="3" fillId="0" borderId="7" xfId="0" applyFont="1" applyBorder="1" applyAlignment="1">
      <alignment horizontal="center" textRotation="90"/>
    </xf>
    <xf numFmtId="0" fontId="7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3" xfId="0" applyFont="1" applyBorder="1" applyAlignment="1">
      <alignment vertical="top" wrapText="1"/>
    </xf>
    <xf numFmtId="0" fontId="4" fillId="0" borderId="5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4" fillId="0" borderId="3" xfId="0" applyFont="1" applyBorder="1" applyAlignment="1">
      <alignment vertical="top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/>
    </xf>
    <xf numFmtId="0" fontId="4" fillId="0" borderId="1" xfId="0" quotePrefix="1" applyFont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9" xfId="0" quotePrefix="1" applyFont="1" applyFill="1" applyBorder="1" applyAlignment="1">
      <alignment horizontal="left"/>
    </xf>
    <xf numFmtId="0" fontId="4" fillId="2" borderId="3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3" borderId="3" xfId="0" applyFont="1" applyFill="1" applyBorder="1" applyAlignment="1">
      <alignment horizontal="center" vertical="top" wrapText="1"/>
    </xf>
    <xf numFmtId="0" fontId="3" fillId="0" borderId="2" xfId="0" quotePrefix="1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" xfId="0" applyFont="1" applyBorder="1"/>
    <xf numFmtId="0" fontId="3" fillId="0" borderId="3" xfId="0" applyFont="1" applyBorder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6" fillId="0" borderId="0" xfId="1" applyFill="1" applyAlignment="1">
      <alignment vertical="top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Hyperlink" xfId="1" builtinId="8" customBuiltin="1"/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top" textRotation="0" wrapText="1" indent="0" justifyLastLine="0" shrinkToFit="0" readingOrder="0"/>
      <border diagonalUp="0" diagonalDown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0" formatCode="General"/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indexed="64"/>
          <bgColor theme="1" tint="4.9989318521683403E-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vertical="top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top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A8BC0F-FD72-41D4-86EB-6B4262959686}" name="data_items" displayName="data_items" ref="A1:C13" totalsRowShown="0" headerRowDxfId="43" dataDxfId="42">
  <autoFilter ref="A1:C13" xr:uid="{F2A8BC0F-FD72-41D4-86EB-6B4262959686}"/>
  <tableColumns count="3">
    <tableColumn id="1" xr3:uid="{5FCFCFA4-43F0-4904-BB0F-13733BB99B3B}" name="index" dataDxfId="41"/>
    <tableColumn id="2" xr3:uid="{92975488-59E1-488D-984A-35334196CCDC}" name="name" dataDxfId="40"/>
    <tableColumn id="3" xr3:uid="{D5A2D868-4290-4257-943E-2EB36E1B985A}" name="details" dataDxfId="3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AD6F5A-CF58-4AE0-9EE6-C7396658A774}" name="Table4" displayName="Table4" ref="A4:AJ9" totalsRowShown="0" headerRowDxfId="38" dataDxfId="36" headerRowBorderDxfId="37">
  <autoFilter ref="A4:AJ9" xr:uid="{2FAD6F5A-CF58-4AE0-9EE6-C7396658A774}"/>
  <sortState xmlns:xlrd2="http://schemas.microsoft.com/office/spreadsheetml/2017/richdata2" ref="A5:AJ9">
    <sortCondition ref="C5:C9"/>
    <sortCondition ref="B5:B9"/>
    <sortCondition ref="A5:A9"/>
  </sortState>
  <tableColumns count="36">
    <tableColumn id="2" xr3:uid="{EF00F69E-EBF7-45A8-AC90-B0B76536AAE5}" name="title" dataDxfId="35"/>
    <tableColumn id="3" xr3:uid="{C9C1F65B-0A85-498E-806D-08C23C94D53C}" name="author" dataDxfId="34"/>
    <tableColumn id="4" xr3:uid="{E29E05C7-7D87-4CFE-B239-54F6FD96DFA2}" name="year" dataDxfId="33"/>
    <tableColumn id="5" xr3:uid="{BD507812-3E58-497C-B691-EEC6408890D5}" name="doi" dataDxfId="32"/>
    <tableColumn id="6" xr3:uid="{B52F3AF4-675D-4BB9-BD08-C686F09A0CD5}" name="url" dataDxfId="31"/>
    <tableColumn id="8" xr3:uid="{52DA1ADE-E53E-45E5-B4FC-FF9164E38807}" name="      appearance" dataDxfId="4"/>
    <tableColumn id="9" xr3:uid="{026595D2-F707-4792-9DFA-A68F5F4687BC}" name="      dynamic" dataDxfId="3"/>
    <tableColumn id="10" xr3:uid="{635467AB-B42D-4B03-A0E4-B49494D583BF}" name="      sparsity" dataDxfId="2"/>
    <tableColumn id="11" xr3:uid="{F06099C9-F8ED-4F00-A20F-B888B010CCC0}" name="      multi-session" dataDxfId="1"/>
    <tableColumn id="12" xr3:uid="{3FC674B6-347F-4BB6-98EF-C86F68CD7C82}" name="      computational" dataDxfId="0"/>
    <tableColumn id="14" xr3:uid="{BCE9BCFC-33DB-4D79-B013-6344D3460B3A}" name="localization" dataDxfId="30"/>
    <tableColumn id="15" xr3:uid="{4F04DF46-5D7D-4DDE-AC07-9B5D9CA75552}" name="mapping" dataDxfId="29"/>
    <tableColumn id="16" xr3:uid="{E038B255-4AEE-4CF2-9F67-F6B2C69DC8A7}" name="      multi-robot" dataDxfId="28"/>
    <tableColumn id="17" xr3:uid="{E1640018-C5D1-47FF-8953-A7270B8270C2}" name="      offline" dataDxfId="27"/>
    <tableColumn id="18" xr3:uid="{D2127B85-6011-4FB7-A7C2-E90023BEEB4F}" name="      online" dataDxfId="26"/>
    <tableColumn id="19" xr3:uid="{F9752EDE-0FE9-45C9-982E-28DF6244326F}" name="      indoor" dataDxfId="25"/>
    <tableColumn id="20" xr3:uid="{CF1E8B17-EA26-4DE0-9FA2-CE75D1D36CD1}" name="      outdoor" dataDxfId="24"/>
    <tableColumn id="21" xr3:uid="{3C587037-9DD2-49F8-B1EE-06688945F277}" name="      air" dataDxfId="23"/>
    <tableColumn id="22" xr3:uid="{7547EE06-1455-4551-8AD8-C6EC968024BC}" name="      ground" dataDxfId="22"/>
    <tableColumn id="23" xr3:uid="{8D1EF075-44F3-47F2-B880-EA87AEFB7783}" name="      water" dataDxfId="21"/>
    <tableColumn id="24" xr3:uid="{17D3C625-2FE9-4549-B33E-D81E2EA2B137}" name="sensor" dataDxfId="20"/>
    <tableColumn id="25" xr3:uid="{C76A0643-38D1-444A-BB97-3BF55DACDFE4}" name="      exp self-acq" dataDxfId="19"/>
    <tableColumn id="26" xr3:uid="{A78819AB-9BD6-42CF-9BD6-465127DEA8E4}" name="ground-truth" dataDxfId="18"/>
    <tableColumn id="27" xr3:uid="{C98EC236-A4B3-449D-BAEF-AC08F6BC5E95}" name="      total dist." dataDxfId="17"/>
    <tableColumn id="28" xr3:uid="{5599B919-5349-4A8A-B753-0FFE00B8C3AD}" name="      path" dataDxfId="16"/>
    <tableColumn id="29" xr3:uid="{F9C9BCAF-CD91-45EC-8345-2D912A1A9209}" name="      total time" dataDxfId="15"/>
    <tableColumn id="30" xr3:uid="{82768EBA-5956-457F-A0CC-200959AF46EE}" name="      time interv." dataDxfId="14"/>
    <tableColumn id="31" xr3:uid="{4BC331F8-B23C-4A5A-BFD7-9D815C2D4ACD}" name="datasets" dataDxfId="13"/>
    <tableColumn id="32" xr3:uid="{EE3F3437-218E-4BAB-B41E-5D6C3F23D996}" name="metrics" dataDxfId="12"/>
    <tableColumn id="33" xr3:uid="{4038E0EF-0886-4E7C-9278-BB4119D36B33}" name="-" dataDxfId="11"/>
    <tableColumn id="34" xr3:uid="{0547D791-305D-4711-A90C-7005B7261A89}" name="gt sparsity" dataDxfId="10">
      <calculatedColumnFormula>IF(Table4[[#This Row],[      sparsity]]="x",IF(ISNUMBER(SEARCH("SLAM",Table4[[#This Row],[ground-truth]])),TRUE,"-"),"-")</calculatedColumnFormula>
    </tableColumn>
    <tableColumn id="35" xr3:uid="{2487B642-F3A8-43B7-B9DE-8C7A28FD209F}" name="vo+key" dataDxfId="9">
      <calculatedColumnFormula>IF(ISNUMBER(SEARCH("keyframe",Table4[[#This Row],[mapping]])),IF(ISNUMBER(SEARCH("odometry",Table4[[#This Row],[localization]])),TRUE,"-"),"-")</calculatedColumnFormula>
    </tableColumn>
    <tableColumn id="36" xr3:uid="{2141D42E-2A88-4E47-9DAC-CD7D45814030}" name="ba+key" dataDxfId="8">
      <calculatedColumnFormula>IF(ISNUMBER(SEARCH("keyframe",Table4[[#This Row],[mapping]])),IF(ISNUMBER(SEARCH("bundle",Table4[[#This Row],[localization]])),TRUE,"-"),"-")</calculatedColumnFormula>
    </tableColumn>
    <tableColumn id="37" xr3:uid="{EB8870A6-7FAE-49BB-9E67-4D78DB493BD5}" name="vo+ba+key" dataDxfId="7">
      <calculatedColumnFormula>IF(AND(ISLOGICAL(Table4[[#This Row],[vo+key]]),ISLOGICAL(Table4[[#This Row],[ba+key]])),TRUE,"-")</calculatedColumnFormula>
    </tableColumn>
    <tableColumn id="39" xr3:uid="{ACB583B5-3C9D-4C1C-A76C-B8D7B74D8059}" name="odo+camera+imu" dataDxfId="6">
      <calculatedColumnFormula>IF(AND(ISNUMBER(SEARCH("odometry",Table4[[#This Row],[localization]])),ISNUMBER(SEARCH("camera",Table4[[#This Row],[sensor]])),ISNUMBER(SEARCH("imu",Table4[[#This Row],[sensor]]))),TRUE,"-")</calculatedColumnFormula>
    </tableColumn>
    <tableColumn id="40" xr3:uid="{5D366300-513A-4EA9-BF7A-44FD6BB12E3E}" name="img matching" dataDxfId="5">
      <calculatedColumnFormula>IF(ISNUMBER(SEARCH("image matching",Table4[[#This Row],[localization]])),TRUE,"-")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ColWidth="8.85546875" defaultRowHeight="12.75" x14ac:dyDescent="0.25"/>
  <cols>
    <col min="1" max="1" width="7.85546875" style="5" bestFit="1" customWidth="1"/>
    <col min="2" max="2" width="32.28515625" style="5" bestFit="1" customWidth="1"/>
    <col min="3" max="3" width="100.7109375" style="6" customWidth="1"/>
    <col min="4" max="16384" width="8.85546875" style="5"/>
  </cols>
  <sheetData>
    <row r="1" spans="1:3" s="1" customFormat="1" x14ac:dyDescent="0.2">
      <c r="A1" s="2" t="s">
        <v>5</v>
      </c>
      <c r="B1" s="2" t="s">
        <v>6</v>
      </c>
      <c r="C1" s="4" t="s">
        <v>7</v>
      </c>
    </row>
    <row r="2" spans="1:3" ht="38.25" x14ac:dyDescent="0.25">
      <c r="A2" s="5" t="s">
        <v>8</v>
      </c>
      <c r="B2" s="5" t="s">
        <v>11</v>
      </c>
      <c r="C2" s="6" t="s">
        <v>101</v>
      </c>
    </row>
    <row r="3" spans="1:3" x14ac:dyDescent="0.25">
      <c r="A3" s="5" t="s">
        <v>9</v>
      </c>
      <c r="B3" s="5" t="s">
        <v>84</v>
      </c>
      <c r="C3" s="5" t="s">
        <v>100</v>
      </c>
    </row>
    <row r="4" spans="1:3" ht="25.5" x14ac:dyDescent="0.25">
      <c r="A4" s="5" t="s">
        <v>10</v>
      </c>
      <c r="B4" s="5" t="s">
        <v>85</v>
      </c>
      <c r="C4" s="6" t="s">
        <v>99</v>
      </c>
    </row>
    <row r="5" spans="1:3" x14ac:dyDescent="0.25">
      <c r="A5" s="5" t="s">
        <v>12</v>
      </c>
      <c r="B5" s="5" t="s">
        <v>22</v>
      </c>
      <c r="C5" s="6" t="s">
        <v>98</v>
      </c>
    </row>
    <row r="6" spans="1:3" ht="38.25" x14ac:dyDescent="0.25">
      <c r="A6" s="5" t="s">
        <v>13</v>
      </c>
      <c r="B6" s="5" t="s">
        <v>86</v>
      </c>
      <c r="C6" s="6" t="s">
        <v>97</v>
      </c>
    </row>
    <row r="7" spans="1:3" x14ac:dyDescent="0.25">
      <c r="A7" s="5" t="s">
        <v>14</v>
      </c>
      <c r="B7" s="5" t="s">
        <v>23</v>
      </c>
      <c r="C7" s="6" t="s">
        <v>96</v>
      </c>
    </row>
    <row r="8" spans="1:3" ht="25.5" x14ac:dyDescent="0.25">
      <c r="A8" s="5" t="s">
        <v>15</v>
      </c>
      <c r="B8" s="5" t="s">
        <v>21</v>
      </c>
      <c r="C8" s="6" t="s">
        <v>95</v>
      </c>
    </row>
    <row r="9" spans="1:3" x14ac:dyDescent="0.25">
      <c r="A9" s="5" t="s">
        <v>16</v>
      </c>
      <c r="B9" s="5" t="s">
        <v>87</v>
      </c>
      <c r="C9" s="6" t="s">
        <v>94</v>
      </c>
    </row>
    <row r="10" spans="1:3" ht="25.5" x14ac:dyDescent="0.25">
      <c r="A10" s="5" t="s">
        <v>17</v>
      </c>
      <c r="B10" s="5" t="s">
        <v>88</v>
      </c>
      <c r="C10" s="6" t="s">
        <v>92</v>
      </c>
    </row>
    <row r="11" spans="1:3" ht="38.25" x14ac:dyDescent="0.25">
      <c r="A11" s="5" t="s">
        <v>18</v>
      </c>
      <c r="B11" s="5" t="s">
        <v>89</v>
      </c>
      <c r="C11" s="6" t="s">
        <v>93</v>
      </c>
    </row>
    <row r="12" spans="1:3" x14ac:dyDescent="0.25">
      <c r="A12" s="5" t="s">
        <v>19</v>
      </c>
      <c r="B12" s="5" t="s">
        <v>25</v>
      </c>
      <c r="C12" s="5" t="s">
        <v>91</v>
      </c>
    </row>
    <row r="13" spans="1:3" ht="25.5" x14ac:dyDescent="0.25">
      <c r="A13" s="5" t="s">
        <v>20</v>
      </c>
      <c r="B13" s="5" t="s">
        <v>24</v>
      </c>
      <c r="C13" s="6" t="s">
        <v>90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9FD1-BCA4-4FE2-81E4-C0BBD2CE0557}">
  <dimension ref="A1:AJ10"/>
  <sheetViews>
    <sheetView tabSelected="1" zoomScale="130" zoomScaleNormal="130" workbookViewId="0">
      <pane xSplit="3" ySplit="4" topLeftCell="D5" activePane="bottomRight" state="frozen"/>
      <selection pane="topRight" activeCell="E1" sqref="E1"/>
      <selection pane="bottomLeft" activeCell="A5" sqref="A5"/>
      <selection pane="bottomRight" activeCell="D5" sqref="D5"/>
    </sheetView>
  </sheetViews>
  <sheetFormatPr defaultColWidth="9.140625" defaultRowHeight="11.25" x14ac:dyDescent="0.25"/>
  <cols>
    <col min="1" max="1" width="30.7109375" style="21" customWidth="1"/>
    <col min="2" max="2" width="10.7109375" style="21" customWidth="1"/>
    <col min="3" max="5" width="5.7109375" style="21" customWidth="1"/>
    <col min="6" max="10" width="3.28515625" style="22" customWidth="1"/>
    <col min="11" max="12" width="20.7109375" style="21" customWidth="1"/>
    <col min="13" max="20" width="3.28515625" style="22" customWidth="1"/>
    <col min="21" max="21" width="20.7109375" style="21" customWidth="1"/>
    <col min="22" max="22" width="3.28515625" style="22" customWidth="1"/>
    <col min="23" max="23" width="20.7109375" style="21" customWidth="1"/>
    <col min="24" max="27" width="5.7109375" style="22" customWidth="1"/>
    <col min="28" max="28" width="20.7109375" style="26" customWidth="1"/>
    <col min="29" max="29" width="20.7109375" style="21" customWidth="1"/>
    <col min="30" max="30" width="2.7109375" style="36" customWidth="1"/>
    <col min="31" max="31" width="10.140625" style="22" bestFit="1" customWidth="1"/>
    <col min="32" max="32" width="9.140625" style="22"/>
    <col min="33" max="16384" width="9.140625" style="21"/>
  </cols>
  <sheetData>
    <row r="1" spans="1:36" s="10" customFormat="1" x14ac:dyDescent="0.2">
      <c r="A1" s="41" t="s">
        <v>36</v>
      </c>
      <c r="F1" s="13" t="e">
        <f>#REF!+1</f>
        <v>#REF!</v>
      </c>
      <c r="G1" s="10" t="e">
        <f t="shared" ref="G1:Z1" si="0">F1+1</f>
        <v>#REF!</v>
      </c>
      <c r="H1" s="10" t="e">
        <f t="shared" si="0"/>
        <v>#REF!</v>
      </c>
      <c r="I1" s="10" t="e">
        <f t="shared" si="0"/>
        <v>#REF!</v>
      </c>
      <c r="J1" s="14" t="e">
        <f t="shared" si="0"/>
        <v>#REF!</v>
      </c>
      <c r="K1" s="13" t="e">
        <f>J1+1</f>
        <v>#REF!</v>
      </c>
      <c r="L1" s="14" t="e">
        <f t="shared" si="0"/>
        <v>#REF!</v>
      </c>
      <c r="M1" s="19" t="e">
        <f t="shared" si="0"/>
        <v>#REF!</v>
      </c>
      <c r="N1" s="13" t="e">
        <f t="shared" si="0"/>
        <v>#REF!</v>
      </c>
      <c r="O1" s="14" t="e">
        <f t="shared" si="0"/>
        <v>#REF!</v>
      </c>
      <c r="P1" s="13" t="e">
        <f t="shared" si="0"/>
        <v>#REF!</v>
      </c>
      <c r="Q1" s="10" t="e">
        <f t="shared" si="0"/>
        <v>#REF!</v>
      </c>
      <c r="R1" s="10" t="e">
        <f t="shared" si="0"/>
        <v>#REF!</v>
      </c>
      <c r="S1" s="10" t="e">
        <f t="shared" si="0"/>
        <v>#REF!</v>
      </c>
      <c r="T1" s="14" t="e">
        <f t="shared" si="0"/>
        <v>#REF!</v>
      </c>
      <c r="U1" s="19" t="e">
        <f t="shared" si="0"/>
        <v>#REF!</v>
      </c>
      <c r="V1" s="19" t="e">
        <f t="shared" si="0"/>
        <v>#REF!</v>
      </c>
      <c r="W1" s="19" t="e">
        <f t="shared" si="0"/>
        <v>#REF!</v>
      </c>
      <c r="X1" s="13" t="e">
        <f t="shared" si="0"/>
        <v>#REF!</v>
      </c>
      <c r="Y1" s="10" t="e">
        <f t="shared" si="0"/>
        <v>#REF!</v>
      </c>
      <c r="Z1" s="10" t="e">
        <f t="shared" si="0"/>
        <v>#REF!</v>
      </c>
      <c r="AA1" s="14" t="e">
        <f>Z1+1</f>
        <v>#REF!</v>
      </c>
      <c r="AB1" s="14" t="e">
        <f>AA1+1</f>
        <v>#REF!</v>
      </c>
      <c r="AC1" s="14" t="e">
        <f>AB1+1</f>
        <v>#REF!</v>
      </c>
      <c r="AD1" s="31"/>
      <c r="AE1" s="14" t="s">
        <v>77</v>
      </c>
      <c r="AF1" s="39" t="b">
        <v>1</v>
      </c>
      <c r="AG1" s="14" t="s">
        <v>80</v>
      </c>
      <c r="AH1" s="14"/>
      <c r="AI1" s="14"/>
      <c r="AJ1" s="14"/>
    </row>
    <row r="2" spans="1:36" s="9" customFormat="1" x14ac:dyDescent="0.2">
      <c r="F2" s="42" t="s">
        <v>26</v>
      </c>
      <c r="G2" s="3"/>
      <c r="H2" s="3"/>
      <c r="I2" s="3"/>
      <c r="J2" s="43"/>
      <c r="K2" s="44" t="s">
        <v>43</v>
      </c>
      <c r="L2" s="45" t="s">
        <v>42</v>
      </c>
      <c r="M2" s="20" t="s">
        <v>39</v>
      </c>
      <c r="N2" s="51" t="s">
        <v>37</v>
      </c>
      <c r="O2" s="52"/>
      <c r="P2" s="51" t="s">
        <v>61</v>
      </c>
      <c r="Q2" s="53"/>
      <c r="R2" s="53"/>
      <c r="S2" s="53"/>
      <c r="T2" s="52"/>
      <c r="U2" s="20" t="s">
        <v>65</v>
      </c>
      <c r="V2" s="20" t="s">
        <v>38</v>
      </c>
      <c r="W2" s="20" t="s">
        <v>44</v>
      </c>
      <c r="X2" s="51" t="s">
        <v>45</v>
      </c>
      <c r="Y2" s="53"/>
      <c r="Z2" s="53"/>
      <c r="AA2" s="52"/>
      <c r="AB2" s="20" t="s">
        <v>63</v>
      </c>
      <c r="AC2" s="20" t="s">
        <v>68</v>
      </c>
      <c r="AD2" s="32"/>
      <c r="AE2" s="20"/>
      <c r="AF2" s="40" t="b">
        <v>1</v>
      </c>
      <c r="AG2" s="19" t="s">
        <v>81</v>
      </c>
      <c r="AH2" s="19"/>
      <c r="AI2" s="20"/>
      <c r="AJ2" s="20"/>
    </row>
    <row r="3" spans="1:36" s="9" customFormat="1" x14ac:dyDescent="0.2">
      <c r="F3" s="44"/>
      <c r="J3" s="45"/>
      <c r="K3" s="44"/>
      <c r="L3" s="45"/>
      <c r="M3" s="20"/>
      <c r="N3" s="44"/>
      <c r="O3" s="45"/>
      <c r="P3" s="51" t="s">
        <v>62</v>
      </c>
      <c r="Q3" s="53"/>
      <c r="R3" s="53"/>
      <c r="S3" s="53"/>
      <c r="T3" s="52"/>
      <c r="U3" s="20"/>
      <c r="V3" s="20"/>
      <c r="W3" s="20"/>
      <c r="X3" s="13" t="s">
        <v>28</v>
      </c>
      <c r="Y3" s="10" t="s">
        <v>28</v>
      </c>
      <c r="Z3" s="10" t="s">
        <v>30</v>
      </c>
      <c r="AA3" s="14" t="s">
        <v>29</v>
      </c>
      <c r="AB3" s="20"/>
      <c r="AC3" s="20"/>
      <c r="AD3" s="32"/>
      <c r="AE3" s="38" t="s">
        <v>73</v>
      </c>
      <c r="AF3" s="38" t="s">
        <v>74</v>
      </c>
      <c r="AG3" s="38" t="s">
        <v>75</v>
      </c>
      <c r="AH3" s="38" t="s">
        <v>76</v>
      </c>
      <c r="AI3" s="38" t="s">
        <v>78</v>
      </c>
      <c r="AJ3" s="38" t="s">
        <v>83</v>
      </c>
    </row>
    <row r="4" spans="1:36" s="11" customFormat="1" ht="78" x14ac:dyDescent="0.2">
      <c r="A4" s="11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F4" s="12" t="s">
        <v>46</v>
      </c>
      <c r="G4" s="12" t="s">
        <v>47</v>
      </c>
      <c r="H4" s="12" t="s">
        <v>48</v>
      </c>
      <c r="I4" s="12" t="s">
        <v>49</v>
      </c>
      <c r="J4" s="12" t="s">
        <v>50</v>
      </c>
      <c r="K4" s="46" t="s">
        <v>40</v>
      </c>
      <c r="L4" s="47" t="s">
        <v>41</v>
      </c>
      <c r="M4" s="16" t="s">
        <v>51</v>
      </c>
      <c r="N4" s="17" t="s">
        <v>52</v>
      </c>
      <c r="O4" s="18" t="s">
        <v>53</v>
      </c>
      <c r="P4" s="17" t="s">
        <v>54</v>
      </c>
      <c r="Q4" s="12" t="s">
        <v>55</v>
      </c>
      <c r="R4" s="12" t="s">
        <v>56</v>
      </c>
      <c r="S4" s="12" t="s">
        <v>57</v>
      </c>
      <c r="T4" s="18" t="s">
        <v>58</v>
      </c>
      <c r="U4" s="15" t="s">
        <v>66</v>
      </c>
      <c r="V4" s="16" t="s">
        <v>59</v>
      </c>
      <c r="W4" s="15" t="s">
        <v>27</v>
      </c>
      <c r="X4" s="17" t="s">
        <v>31</v>
      </c>
      <c r="Y4" s="12" t="s">
        <v>32</v>
      </c>
      <c r="Z4" s="12" t="s">
        <v>33</v>
      </c>
      <c r="AA4" s="18" t="s">
        <v>34</v>
      </c>
      <c r="AB4" s="15" t="s">
        <v>64</v>
      </c>
      <c r="AC4" s="15" t="s">
        <v>67</v>
      </c>
      <c r="AD4" s="33" t="s">
        <v>60</v>
      </c>
      <c r="AE4" s="16" t="s">
        <v>69</v>
      </c>
      <c r="AF4" s="16" t="s">
        <v>70</v>
      </c>
      <c r="AG4" s="16" t="s">
        <v>71</v>
      </c>
      <c r="AH4" s="16" t="s">
        <v>72</v>
      </c>
      <c r="AI4" s="16" t="s">
        <v>79</v>
      </c>
      <c r="AJ4" s="16" t="s">
        <v>82</v>
      </c>
    </row>
    <row r="5" spans="1:36" x14ac:dyDescent="0.25">
      <c r="A5" s="21" t="s">
        <v>102</v>
      </c>
      <c r="B5" s="21" t="s">
        <v>103</v>
      </c>
      <c r="C5" s="22">
        <v>2022</v>
      </c>
      <c r="D5" s="21" t="s">
        <v>104</v>
      </c>
      <c r="E5" s="48" t="s">
        <v>105</v>
      </c>
      <c r="F5" s="27" t="s">
        <v>122</v>
      </c>
      <c r="G5" s="8" t="s">
        <v>35</v>
      </c>
      <c r="H5" s="8" t="s">
        <v>122</v>
      </c>
      <c r="I5" s="8" t="s">
        <v>122</v>
      </c>
      <c r="J5" s="28" t="s">
        <v>122</v>
      </c>
      <c r="K5" s="7"/>
      <c r="L5" s="7"/>
      <c r="M5" s="49"/>
      <c r="N5" s="8"/>
      <c r="O5" s="8"/>
      <c r="P5" s="27"/>
      <c r="Q5" s="28"/>
      <c r="R5" s="8"/>
      <c r="S5" s="8"/>
      <c r="T5" s="8"/>
      <c r="U5" s="50"/>
      <c r="V5" s="49"/>
      <c r="W5" s="7"/>
      <c r="X5" s="30"/>
      <c r="Y5" s="8"/>
      <c r="Z5" s="8"/>
      <c r="AA5" s="28"/>
      <c r="AB5" s="23"/>
      <c r="AC5" s="23"/>
      <c r="AD5" s="34"/>
      <c r="AE5" s="28" t="str">
        <f>IF(Table4[[#This Row],[      sparsity]]="x",IF(ISNUMBER(SEARCH("SLAM",Table4[[#This Row],[ground-truth]])),TRUE,"-"),"-")</f>
        <v>-</v>
      </c>
      <c r="AF5" s="28" t="str">
        <f>IF(ISNUMBER(SEARCH("keyframe",Table4[[#This Row],[mapping]])),IF(ISNUMBER(SEARCH("odometry",Table4[[#This Row],[localization]])),TRUE,"-"),"-")</f>
        <v>-</v>
      </c>
      <c r="AG5" s="28" t="str">
        <f>IF(ISNUMBER(SEARCH("keyframe",Table4[[#This Row],[mapping]])),IF(ISNUMBER(SEARCH("bundle",Table4[[#This Row],[localization]])),TRUE,"-"),"-")</f>
        <v>-</v>
      </c>
      <c r="AH5" s="28" t="str">
        <f>IF(AND(ISLOGICAL(Table4[[#This Row],[vo+key]]),ISLOGICAL(Table4[[#This Row],[ba+key]])),TRUE,"-")</f>
        <v>-</v>
      </c>
      <c r="AI5" s="28" t="str">
        <f>IF(AND(ISNUMBER(SEARCH("odometry",Table4[[#This Row],[localization]])),ISNUMBER(SEARCH("camera",Table4[[#This Row],[sensor]])),ISNUMBER(SEARCH("imu",Table4[[#This Row],[sensor]]))),TRUE,"-")</f>
        <v>-</v>
      </c>
      <c r="AJ5" s="28" t="str">
        <f>IF(ISNUMBER(SEARCH("image matching",Table4[[#This Row],[localization]])),TRUE,"-")</f>
        <v>-</v>
      </c>
    </row>
    <row r="6" spans="1:36" x14ac:dyDescent="0.25">
      <c r="A6" s="21" t="s">
        <v>106</v>
      </c>
      <c r="B6" s="21" t="s">
        <v>107</v>
      </c>
      <c r="C6" s="22">
        <v>2022</v>
      </c>
      <c r="D6" s="21" t="s">
        <v>108</v>
      </c>
      <c r="E6" s="48" t="s">
        <v>109</v>
      </c>
      <c r="F6" s="27" t="s">
        <v>122</v>
      </c>
      <c r="G6" s="8" t="s">
        <v>35</v>
      </c>
      <c r="H6" s="8" t="s">
        <v>122</v>
      </c>
      <c r="I6" s="8" t="s">
        <v>122</v>
      </c>
      <c r="J6" s="28" t="s">
        <v>122</v>
      </c>
      <c r="K6" s="7"/>
      <c r="L6" s="7"/>
      <c r="M6" s="49"/>
      <c r="N6" s="8"/>
      <c r="O6" s="8"/>
      <c r="P6" s="27"/>
      <c r="Q6" s="28"/>
      <c r="R6" s="8"/>
      <c r="S6" s="8"/>
      <c r="T6" s="8"/>
      <c r="U6" s="50"/>
      <c r="V6" s="49"/>
      <c r="W6" s="7"/>
      <c r="X6" s="27"/>
      <c r="Y6" s="8"/>
      <c r="Z6" s="8"/>
      <c r="AA6" s="28"/>
      <c r="AB6" s="23"/>
      <c r="AC6" s="23"/>
      <c r="AD6" s="34"/>
      <c r="AE6" s="28" t="str">
        <f>IF(Table4[[#This Row],[      sparsity]]="x",IF(ISNUMBER(SEARCH("SLAM",Table4[[#This Row],[ground-truth]])),TRUE,"-"),"-")</f>
        <v>-</v>
      </c>
      <c r="AF6" s="28" t="str">
        <f>IF(ISNUMBER(SEARCH("keyframe",Table4[[#This Row],[mapping]])),IF(ISNUMBER(SEARCH("odometry",Table4[[#This Row],[localization]])),TRUE,"-"),"-")</f>
        <v>-</v>
      </c>
      <c r="AG6" s="28" t="str">
        <f>IF(ISNUMBER(SEARCH("keyframe",Table4[[#This Row],[mapping]])),IF(ISNUMBER(SEARCH("bundle",Table4[[#This Row],[localization]])),TRUE,"-"),"-")</f>
        <v>-</v>
      </c>
      <c r="AH6" s="28" t="str">
        <f>IF(AND(ISLOGICAL(Table4[[#This Row],[vo+key]]),ISLOGICAL(Table4[[#This Row],[ba+key]])),TRUE,"-")</f>
        <v>-</v>
      </c>
      <c r="AI6" s="28" t="str">
        <f>IF(AND(ISNUMBER(SEARCH("odometry",Table4[[#This Row],[localization]])),ISNUMBER(SEARCH("camera",Table4[[#This Row],[sensor]])),ISNUMBER(SEARCH("imu",Table4[[#This Row],[sensor]]))),TRUE,"-")</f>
        <v>-</v>
      </c>
      <c r="AJ6" s="28" t="str">
        <f>IF(ISNUMBER(SEARCH("image matching",Table4[[#This Row],[localization]])),TRUE,"-")</f>
        <v>-</v>
      </c>
    </row>
    <row r="7" spans="1:36" x14ac:dyDescent="0.25">
      <c r="A7" s="21" t="s">
        <v>110</v>
      </c>
      <c r="B7" s="21" t="s">
        <v>111</v>
      </c>
      <c r="C7" s="22">
        <v>2022</v>
      </c>
      <c r="D7" s="21" t="s">
        <v>112</v>
      </c>
      <c r="E7" s="48" t="s">
        <v>113</v>
      </c>
      <c r="F7" s="27" t="s">
        <v>122</v>
      </c>
      <c r="G7" s="8" t="s">
        <v>35</v>
      </c>
      <c r="H7" s="8" t="s">
        <v>122</v>
      </c>
      <c r="I7" s="8" t="s">
        <v>122</v>
      </c>
      <c r="J7" s="28" t="s">
        <v>122</v>
      </c>
      <c r="K7" s="7"/>
      <c r="L7" s="7"/>
      <c r="M7" s="49"/>
      <c r="N7" s="8"/>
      <c r="O7" s="8"/>
      <c r="P7" s="27"/>
      <c r="Q7" s="28"/>
      <c r="R7" s="8"/>
      <c r="S7" s="8"/>
      <c r="T7" s="8"/>
      <c r="U7" s="50"/>
      <c r="V7" s="49"/>
      <c r="W7" s="7"/>
      <c r="X7" s="27"/>
      <c r="Y7" s="8"/>
      <c r="Z7" s="8"/>
      <c r="AA7" s="28"/>
      <c r="AB7" s="23"/>
      <c r="AC7" s="23"/>
      <c r="AD7" s="34"/>
      <c r="AE7" s="28" t="str">
        <f>IF(Table4[[#This Row],[      sparsity]]="x",IF(ISNUMBER(SEARCH("SLAM",Table4[[#This Row],[ground-truth]])),TRUE,"-"),"-")</f>
        <v>-</v>
      </c>
      <c r="AF7" s="37" t="str">
        <f>IF(ISNUMBER(SEARCH("keyframe",Table4[[#This Row],[mapping]])),IF(ISNUMBER(SEARCH("odometry",Table4[[#This Row],[localization]])),TRUE,"-"),"-")</f>
        <v>-</v>
      </c>
      <c r="AG7" s="28" t="str">
        <f>IF(ISNUMBER(SEARCH("keyframe",Table4[[#This Row],[mapping]])),IF(ISNUMBER(SEARCH("bundle",Table4[[#This Row],[localization]])),TRUE,"-"),"-")</f>
        <v>-</v>
      </c>
      <c r="AH7" s="28" t="str">
        <f>IF(AND(ISLOGICAL(Table4[[#This Row],[vo+key]]),ISLOGICAL(Table4[[#This Row],[ba+key]])),TRUE,"-")</f>
        <v>-</v>
      </c>
      <c r="AI7" s="28" t="str">
        <f>IF(AND(ISNUMBER(SEARCH("odometry",Table4[[#This Row],[localization]])),ISNUMBER(SEARCH("camera",Table4[[#This Row],[sensor]])),ISNUMBER(SEARCH("imu",Table4[[#This Row],[sensor]]))),TRUE,"-")</f>
        <v>-</v>
      </c>
      <c r="AJ7" s="28" t="str">
        <f>IF(ISNUMBER(SEARCH("image matching",Table4[[#This Row],[localization]])),TRUE,"-")</f>
        <v>-</v>
      </c>
    </row>
    <row r="8" spans="1:36" x14ac:dyDescent="0.25">
      <c r="A8" s="21" t="s">
        <v>114</v>
      </c>
      <c r="B8" s="21" t="s">
        <v>115</v>
      </c>
      <c r="C8" s="22">
        <v>2022</v>
      </c>
      <c r="D8" s="21" t="s">
        <v>116</v>
      </c>
      <c r="E8" s="48" t="s">
        <v>117</v>
      </c>
      <c r="F8" s="27" t="s">
        <v>122</v>
      </c>
      <c r="G8" s="8" t="s">
        <v>35</v>
      </c>
      <c r="H8" s="8" t="s">
        <v>122</v>
      </c>
      <c r="I8" s="8" t="s">
        <v>122</v>
      </c>
      <c r="J8" s="28" t="s">
        <v>122</v>
      </c>
      <c r="K8" s="7"/>
      <c r="L8" s="7"/>
      <c r="M8" s="49"/>
      <c r="N8" s="8"/>
      <c r="O8" s="8"/>
      <c r="P8" s="27"/>
      <c r="Q8" s="28"/>
      <c r="R8" s="8"/>
      <c r="S8" s="8"/>
      <c r="T8" s="8"/>
      <c r="U8" s="50"/>
      <c r="V8" s="49"/>
      <c r="W8" s="7"/>
      <c r="X8" s="27"/>
      <c r="Y8" s="8"/>
      <c r="Z8" s="8"/>
      <c r="AA8" s="28"/>
      <c r="AB8" s="23"/>
      <c r="AC8" s="23"/>
      <c r="AD8" s="34"/>
      <c r="AE8" s="28" t="str">
        <f>IF(Table4[[#This Row],[      sparsity]]="x",IF(ISNUMBER(SEARCH("SLAM",Table4[[#This Row],[ground-truth]])),TRUE,"-"),"-")</f>
        <v>-</v>
      </c>
      <c r="AF8" s="28" t="str">
        <f>IF(ISNUMBER(SEARCH("keyframe",Table4[[#This Row],[mapping]])),IF(ISNUMBER(SEARCH("odometry",Table4[[#This Row],[localization]])),TRUE,"-"),"-")</f>
        <v>-</v>
      </c>
      <c r="AG8" s="28" t="str">
        <f>IF(ISNUMBER(SEARCH("keyframe",Table4[[#This Row],[mapping]])),IF(ISNUMBER(SEARCH("bundle",Table4[[#This Row],[localization]])),TRUE,"-"),"-")</f>
        <v>-</v>
      </c>
      <c r="AH8" s="28" t="str">
        <f>IF(AND(ISLOGICAL(Table4[[#This Row],[vo+key]]),ISLOGICAL(Table4[[#This Row],[ba+key]])),TRUE,"-")</f>
        <v>-</v>
      </c>
      <c r="AI8" s="28" t="str">
        <f>IF(AND(ISNUMBER(SEARCH("odometry",Table4[[#This Row],[localization]])),ISNUMBER(SEARCH("camera",Table4[[#This Row],[sensor]])),ISNUMBER(SEARCH("imu",Table4[[#This Row],[sensor]]))),TRUE,"-")</f>
        <v>-</v>
      </c>
      <c r="AJ8" s="28" t="str">
        <f>IF(ISNUMBER(SEARCH("image matching",Table4[[#This Row],[localization]])),TRUE,"-")</f>
        <v>-</v>
      </c>
    </row>
    <row r="9" spans="1:36" x14ac:dyDescent="0.25">
      <c r="A9" s="21" t="s">
        <v>118</v>
      </c>
      <c r="B9" s="21" t="s">
        <v>119</v>
      </c>
      <c r="C9" s="22">
        <v>2022</v>
      </c>
      <c r="D9" s="21" t="s">
        <v>120</v>
      </c>
      <c r="E9" s="48" t="s">
        <v>121</v>
      </c>
      <c r="F9" s="27" t="s">
        <v>122</v>
      </c>
      <c r="G9" s="8" t="s">
        <v>35</v>
      </c>
      <c r="H9" s="8" t="s">
        <v>122</v>
      </c>
      <c r="I9" s="8" t="s">
        <v>122</v>
      </c>
      <c r="J9" s="28" t="s">
        <v>122</v>
      </c>
      <c r="K9" s="7"/>
      <c r="L9" s="7"/>
      <c r="M9" s="49"/>
      <c r="N9" s="8"/>
      <c r="O9" s="8"/>
      <c r="P9" s="27"/>
      <c r="Q9" s="28"/>
      <c r="R9" s="8"/>
      <c r="S9" s="8"/>
      <c r="T9" s="8"/>
      <c r="U9" s="50"/>
      <c r="V9" s="49"/>
      <c r="W9" s="7"/>
      <c r="X9" s="27"/>
      <c r="Y9" s="8"/>
      <c r="Z9" s="8"/>
      <c r="AA9" s="28"/>
      <c r="AB9" s="23"/>
      <c r="AC9" s="23"/>
      <c r="AD9" s="34"/>
      <c r="AE9" s="28" t="str">
        <f>IF(Table4[[#This Row],[      sparsity]]="x",IF(ISNUMBER(SEARCH("SLAM",Table4[[#This Row],[ground-truth]])),TRUE,"-"),"-")</f>
        <v>-</v>
      </c>
      <c r="AF9" s="28" t="str">
        <f>IF(ISNUMBER(SEARCH("keyframe",Table4[[#This Row],[mapping]])),IF(ISNUMBER(SEARCH("odometry",Table4[[#This Row],[localization]])),TRUE,"-"),"-")</f>
        <v>-</v>
      </c>
      <c r="AG9" s="28" t="str">
        <f>IF(ISNUMBER(SEARCH("keyframe",Table4[[#This Row],[mapping]])),IF(ISNUMBER(SEARCH("bundle",Table4[[#This Row],[localization]])),TRUE,"-"),"-")</f>
        <v>-</v>
      </c>
      <c r="AH9" s="28" t="str">
        <f>IF(AND(ISLOGICAL(Table4[[#This Row],[vo+key]]),ISLOGICAL(Table4[[#This Row],[ba+key]])),TRUE,"-")</f>
        <v>-</v>
      </c>
      <c r="AI9" s="28" t="str">
        <f>IF(AND(ISNUMBER(SEARCH("odometry",Table4[[#This Row],[localization]])),ISNUMBER(SEARCH("camera",Table4[[#This Row],[sensor]])),ISNUMBER(SEARCH("imu",Table4[[#This Row],[sensor]]))),TRUE,"-")</f>
        <v>-</v>
      </c>
      <c r="AJ9" s="28" t="str">
        <f>IF(ISNUMBER(SEARCH("image matching",Table4[[#This Row],[localization]])),TRUE,"-")</f>
        <v>-</v>
      </c>
    </row>
    <row r="10" spans="1:36" s="24" customFormat="1" x14ac:dyDescent="0.25">
      <c r="F10" s="29">
        <f>COUNTIF(Table4[[      appearance]],"x")</f>
        <v>0</v>
      </c>
      <c r="G10" s="29">
        <f>COUNTIF(Table4[[      dynamic]],"x")</f>
        <v>5</v>
      </c>
      <c r="H10" s="29">
        <f>COUNTIF(Table4[[      sparsity]],"x")</f>
        <v>0</v>
      </c>
      <c r="I10" s="29">
        <f>COUNTIF(Table4[      multi-session],"x")</f>
        <v>0</v>
      </c>
      <c r="J10" s="29">
        <f>COUNTIF(Table4[[      computational]],"x")</f>
        <v>0</v>
      </c>
      <c r="K10" s="29"/>
      <c r="L10" s="29"/>
      <c r="M10" s="29">
        <f>COUNTIF(Table4[      multi-robot],"x")</f>
        <v>0</v>
      </c>
      <c r="N10" s="29">
        <f>COUNTIF(Table4[[      offline]],"x")</f>
        <v>0</v>
      </c>
      <c r="O10" s="29">
        <f>COUNTIF(Table4[[      online]],"x")</f>
        <v>0</v>
      </c>
      <c r="P10" s="29"/>
      <c r="Q10" s="29"/>
      <c r="R10" s="29"/>
      <c r="S10" s="29"/>
      <c r="T10" s="29"/>
      <c r="V10" s="29"/>
      <c r="X10" s="29"/>
      <c r="Y10" s="29"/>
      <c r="Z10" s="29"/>
      <c r="AA10" s="29"/>
      <c r="AB10" s="25"/>
      <c r="AD10" s="35"/>
      <c r="AE10" s="29"/>
      <c r="AF10" s="29"/>
    </row>
  </sheetData>
  <mergeCells count="4">
    <mergeCell ref="N2:O2"/>
    <mergeCell ref="P2:T2"/>
    <mergeCell ref="X2:AA2"/>
    <mergeCell ref="P3:T3"/>
  </mergeCells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Props1.xml><?xml version="1.0" encoding="utf-8"?>
<ds:datastoreItem xmlns:ds="http://schemas.openxmlformats.org/officeDocument/2006/customXml" ds:itemID="{E3E9A23F-41AB-4D52-AA6C-ECBD8B030A22}">
  <ds:schemaRefs/>
</ds:datastoreItem>
</file>

<file path=customXml/itemProps2.xml><?xml version="1.0" encoding="utf-8"?>
<ds:datastoreItem xmlns:ds="http://schemas.openxmlformats.org/officeDocument/2006/customXml" ds:itemID="{88D83557-6C38-4D60-BE0B-9BCC4197E87A}">
  <ds:schemaRefs/>
</ds:datastoreItem>
</file>

<file path=customXml/itemProps3.xml><?xml version="1.0" encoding="utf-8"?>
<ds:datastoreItem xmlns:ds="http://schemas.openxmlformats.org/officeDocument/2006/customXml" ds:itemID="{FBD99357-5B79-4241-A6F8-BFFF0BFC66FC}">
  <ds:schemaRefs/>
</ds:datastoreItem>
</file>

<file path=customXml/itemProps4.xml><?xml version="1.0" encoding="utf-8"?>
<ds:datastoreItem xmlns:ds="http://schemas.openxmlformats.org/officeDocument/2006/customXml" ds:itemID="{FFB3BCE2-2B41-422C-9222-DAC85A027659}">
  <ds:schemaRefs/>
</ds:datastoreItem>
</file>

<file path=customXml/itemProps5.xml><?xml version="1.0" encoding="utf-8"?>
<ds:datastoreItem xmlns:ds="http://schemas.openxmlformats.org/officeDocument/2006/customXml" ds:itemID="{81538761-A357-4D34-B32B-E874FD912E4A}">
  <ds:schemaRefs/>
</ds:datastoreItem>
</file>

<file path=customXml/itemProps6.xml><?xml version="1.0" encoding="utf-8"?>
<ds:datastoreItem xmlns:ds="http://schemas.openxmlformats.org/officeDocument/2006/customXml" ds:itemID="{0A76EAC3-000C-4460-ACB0-112D9B757CE2}">
  <ds:schemaRefs/>
</ds:datastoreItem>
</file>

<file path=customXml/itemProps7.xml><?xml version="1.0" encoding="utf-8"?>
<ds:datastoreItem xmlns:ds="http://schemas.openxmlformats.org/officeDocument/2006/customXml" ds:itemID="{BF53CA59-05A0-476C-9E2C-70BC6E2019B8}">
  <ds:schemaRefs/>
</ds:datastoreItem>
</file>

<file path=customXml/itemProps8.xml><?xml version="1.0" encoding="utf-8"?>
<ds:datastoreItem xmlns:ds="http://schemas.openxmlformats.org/officeDocument/2006/customXml" ds:itemID="{BD5A3F20-A0A1-4DBD-94F1-CD5E8D62724C}">
  <ds:schemaRefs/>
</ds:datastoreItem>
</file>

<file path=customXml/itemProps9.xml><?xml version="1.0" encoding="utf-8"?>
<ds:datastoreItem xmlns:ds="http://schemas.openxmlformats.org/officeDocument/2006/customXml" ds:itemID="{0B9AA3D0-0C6E-493E-A950-15ECB794D3BC}">
  <ds:schemaRefs>
    <ds:schemaRef ds:uri="http://schemas.microsoft.com/DataMashup"/>
  </ds:schemaRefs>
</ds:datastoreItem>
</file>

<file path=customXml/itemProps10.xml><?xml version="1.0" encoding="utf-8"?>
<ds:datastoreItem xmlns:ds="http://schemas.openxmlformats.org/officeDocument/2006/customXml" ds:itemID="{9FDFB66F-7DB9-48CA-BCAD-A031DC8B5A2C}">
  <ds:schemaRefs/>
</ds:datastoreItem>
</file>

<file path=customXml/itemProps11.xml><?xml version="1.0" encoding="utf-8"?>
<ds:datastoreItem xmlns:ds="http://schemas.openxmlformats.org/officeDocument/2006/customXml" ds:itemID="{7D4F594E-CF3D-437C-940F-C06421BAD074}">
  <ds:schemaRefs/>
</ds:datastoreItem>
</file>

<file path=customXml/itemProps12.xml><?xml version="1.0" encoding="utf-8"?>
<ds:datastoreItem xmlns:ds="http://schemas.openxmlformats.org/officeDocument/2006/customXml" ds:itemID="{D8B96E74-AB66-409C-9F64-04D4AACA8F2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extraction items</vt:lpstr>
      <vt:lpstr>data_dynamic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Barbosa Sousa</dc:creator>
  <cp:lastModifiedBy>Ricardo Barbosa Sousa</cp:lastModifiedBy>
  <dcterms:created xsi:type="dcterms:W3CDTF">2015-06-05T18:17:20Z</dcterms:created>
  <dcterms:modified xsi:type="dcterms:W3CDTF">2022-10-27T11:47:28Z</dcterms:modified>
</cp:coreProperties>
</file>