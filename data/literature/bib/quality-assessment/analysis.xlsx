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C:\Users\sousa\Dev\phd-trp\data\literature\bib\quality-assessment\"/>
    </mc:Choice>
  </mc:AlternateContent>
  <xr:revisionPtr revIDLastSave="0" documentId="13_ncr:1_{2AE15A76-4346-4991-949E-26629033EE3D}" xr6:coauthVersionLast="47" xr6:coauthVersionMax="47" xr10:uidLastSave="{00000000-0000-0000-0000-000000000000}"/>
  <bookViews>
    <workbookView xWindow="22932" yWindow="-108" windowWidth="23256" windowHeight="12456" activeTab="1" xr2:uid="{00000000-000D-0000-FFFF-FFFF00000000}"/>
  </bookViews>
  <sheets>
    <sheet name="Eligible Records" sheetId="1" r:id="rId1"/>
    <sheet name="Parsifal QE" sheetId="2" r:id="rId2"/>
    <sheet name="Analysis" sheetId="3" r:id="rId3"/>
    <sheet name="Graphs Analysis" sheetId="4" r:id="rId4"/>
  </sheets>
  <definedNames>
    <definedName name="_xlchart.v1.0" hidden="1">Analysis!$C$2:$C$22</definedName>
    <definedName name="_xlchart.v1.1" hidden="1">Analysis!$D$2:$D$22</definedName>
    <definedName name="_xlchart.v1.2" hidden="1">Analysis!$C$28:$C$48</definedName>
    <definedName name="_xlchart.v1.3" hidden="1">Analysis!$D$28:$D$48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P12" i="2" l="1"/>
  <c r="P20" i="2"/>
  <c r="P14" i="2"/>
  <c r="P31" i="2"/>
  <c r="P15" i="2"/>
  <c r="P21" i="2"/>
  <c r="P13" i="2"/>
  <c r="P17" i="2"/>
  <c r="P7" i="2"/>
  <c r="P3" i="2"/>
  <c r="P25" i="2"/>
  <c r="P27" i="2"/>
  <c r="P23" i="2"/>
  <c r="P18" i="2"/>
  <c r="P22" i="2"/>
  <c r="P30" i="2"/>
  <c r="P24" i="2"/>
  <c r="P4" i="2"/>
  <c r="P6" i="2"/>
  <c r="P11" i="2"/>
  <c r="P5" i="2"/>
  <c r="P19" i="2"/>
  <c r="P10" i="2"/>
  <c r="P16" i="2"/>
  <c r="P26" i="2"/>
  <c r="P8" i="2"/>
  <c r="P9" i="2"/>
  <c r="P29" i="2"/>
  <c r="P28" i="2"/>
  <c r="O12" i="2"/>
  <c r="Q12" i="2" s="1"/>
  <c r="O20" i="2"/>
  <c r="Q20" i="2" s="1"/>
  <c r="O14" i="2"/>
  <c r="Q14" i="2" s="1"/>
  <c r="O31" i="2"/>
  <c r="Q31" i="2" s="1"/>
  <c r="O15" i="2"/>
  <c r="Q15" i="2" s="1"/>
  <c r="O21" i="2"/>
  <c r="Q21" i="2" s="1"/>
  <c r="O13" i="2"/>
  <c r="Q13" i="2" s="1"/>
  <c r="O17" i="2"/>
  <c r="Q17" i="2" s="1"/>
  <c r="O7" i="2"/>
  <c r="Q7" i="2" s="1"/>
  <c r="O3" i="2"/>
  <c r="Q3" i="2" s="1"/>
  <c r="O25" i="2"/>
  <c r="Q25" i="2" s="1"/>
  <c r="O27" i="2"/>
  <c r="Q27" i="2" s="1"/>
  <c r="O23" i="2"/>
  <c r="Q23" i="2" s="1"/>
  <c r="O18" i="2"/>
  <c r="Q18" i="2" s="1"/>
  <c r="O22" i="2"/>
  <c r="Q22" i="2" s="1"/>
  <c r="O30" i="2"/>
  <c r="Q30" i="2" s="1"/>
  <c r="O24" i="2"/>
  <c r="Q24" i="2" s="1"/>
  <c r="O4" i="2"/>
  <c r="Q4" i="2" s="1"/>
  <c r="O6" i="2"/>
  <c r="Q6" i="2" s="1"/>
  <c r="O11" i="2"/>
  <c r="Q11" i="2" s="1"/>
  <c r="O5" i="2"/>
  <c r="Q5" i="2" s="1"/>
  <c r="O19" i="2"/>
  <c r="Q19" i="2" s="1"/>
  <c r="O10" i="2"/>
  <c r="Q10" i="2" s="1"/>
  <c r="O16" i="2"/>
  <c r="Q16" i="2" s="1"/>
  <c r="O26" i="2"/>
  <c r="Q26" i="2" s="1"/>
  <c r="O8" i="2"/>
  <c r="Q8" i="2" s="1"/>
  <c r="O9" i="2"/>
  <c r="Q9" i="2" s="1"/>
  <c r="O29" i="2"/>
  <c r="Q29" i="2" s="1"/>
  <c r="O28" i="2"/>
  <c r="Q28" i="2" s="1"/>
  <c r="F25" i="2" l="1"/>
  <c r="F5" i="2"/>
  <c r="F20" i="2"/>
  <c r="F11" i="2"/>
  <c r="F29" i="2"/>
  <c r="F6" i="2"/>
  <c r="F9" i="2"/>
  <c r="F26" i="2"/>
  <c r="F24" i="2"/>
  <c r="F16" i="2"/>
  <c r="P32" i="3" a="1"/>
  <c r="P32" i="3" s="1"/>
  <c r="F7" i="2"/>
  <c r="F22" i="2"/>
  <c r="F13" i="2"/>
  <c r="F18" i="2"/>
  <c r="F12" i="2"/>
  <c r="F15" i="2"/>
  <c r="F23" i="2"/>
  <c r="F10" i="2"/>
  <c r="F28" i="2"/>
  <c r="F3" i="2"/>
  <c r="F27" i="2"/>
  <c r="F19" i="2"/>
  <c r="F31" i="2"/>
  <c r="F17" i="2"/>
  <c r="F4" i="2"/>
  <c r="F14" i="2"/>
  <c r="F21" i="2"/>
  <c r="F30" i="2"/>
  <c r="F8" i="2"/>
  <c r="P31" i="3"/>
  <c r="R14" i="2"/>
  <c r="R13" i="2"/>
  <c r="R28" i="2"/>
  <c r="R8" i="2"/>
  <c r="R17" i="2"/>
  <c r="R10" i="2"/>
  <c r="R4" i="2"/>
  <c r="R3" i="2"/>
  <c r="R9" i="2"/>
  <c r="R5" i="2"/>
  <c r="R19" i="2"/>
  <c r="R18" i="2"/>
  <c r="R15" i="2"/>
  <c r="R12" i="2"/>
  <c r="R6" i="2"/>
  <c r="R23" i="2"/>
  <c r="R25" i="2"/>
  <c r="R26" i="2"/>
  <c r="R16" i="2"/>
  <c r="R27" i="2"/>
  <c r="R21" i="2"/>
  <c r="I12" i="3"/>
  <c r="R11" i="2"/>
  <c r="R24" i="2"/>
  <c r="R30" i="2"/>
  <c r="R7" i="2"/>
  <c r="R22" i="2"/>
  <c r="R29" i="2"/>
  <c r="R31" i="2"/>
  <c r="R20" i="2"/>
  <c r="I11" i="3"/>
  <c r="H31" i="3" l="1"/>
  <c r="D31" i="3"/>
  <c r="D30" i="3"/>
  <c r="H37" i="3"/>
  <c r="D9" i="3"/>
  <c r="E47" i="3"/>
  <c r="M7" i="3"/>
  <c r="D34" i="3"/>
  <c r="D39" i="3"/>
  <c r="D29" i="3"/>
  <c r="D32" i="3"/>
  <c r="E40" i="3"/>
  <c r="E41" i="3"/>
  <c r="E43" i="3"/>
  <c r="M12" i="3"/>
  <c r="D40" i="3"/>
  <c r="E35" i="3"/>
  <c r="E48" i="3"/>
  <c r="E38" i="3"/>
  <c r="D42" i="3"/>
  <c r="D38" i="3"/>
  <c r="M8" i="3"/>
  <c r="M9" i="3"/>
  <c r="M11" i="3"/>
  <c r="H30" i="3"/>
  <c r="E34" i="3"/>
  <c r="M3" i="3"/>
  <c r="M16" i="3"/>
  <c r="M6" i="3"/>
  <c r="D4" i="3"/>
  <c r="D43" i="3"/>
  <c r="M4" i="3"/>
  <c r="M20" i="3"/>
  <c r="M21" i="3"/>
  <c r="D8" i="3"/>
  <c r="H42" i="3"/>
  <c r="E46" i="3"/>
  <c r="M15" i="3"/>
  <c r="D13" i="3"/>
  <c r="M18" i="3"/>
  <c r="D16" i="3"/>
  <c r="D21" i="3"/>
  <c r="D41" i="3"/>
  <c r="D5" i="3"/>
  <c r="D6" i="3"/>
  <c r="D20" i="3"/>
  <c r="E33" i="3"/>
  <c r="D37" i="3"/>
  <c r="D12" i="3"/>
  <c r="E37" i="3"/>
  <c r="D3" i="3"/>
  <c r="E42" i="3"/>
  <c r="D17" i="3"/>
  <c r="D18" i="3"/>
  <c r="H29" i="3"/>
  <c r="E45" i="3"/>
  <c r="M2" i="3"/>
  <c r="H46" i="3"/>
  <c r="M17" i="3"/>
  <c r="D15" i="3"/>
  <c r="M22" i="3"/>
  <c r="H43" i="3"/>
  <c r="M19" i="3"/>
  <c r="H39" i="3"/>
  <c r="E30" i="3"/>
  <c r="H41" i="3"/>
  <c r="D36" i="3"/>
  <c r="M14" i="3"/>
  <c r="M5" i="3"/>
  <c r="D14" i="3"/>
  <c r="D33" i="3"/>
  <c r="E32" i="3"/>
  <c r="D48" i="3"/>
  <c r="D11" i="3"/>
  <c r="D2" i="3"/>
  <c r="D7" i="3"/>
  <c r="H36" i="3"/>
  <c r="M10" i="3"/>
  <c r="D19" i="3"/>
  <c r="H28" i="3"/>
  <c r="E44" i="3"/>
  <c r="M13" i="3"/>
  <c r="D28" i="3"/>
  <c r="H33" i="3"/>
  <c r="H34" i="3"/>
  <c r="H48" i="3"/>
  <c r="D46" i="3"/>
  <c r="K32" i="3"/>
  <c r="H38" i="3"/>
  <c r="H40" i="3"/>
  <c r="D35" i="3"/>
  <c r="D10" i="3"/>
  <c r="H32" i="3"/>
  <c r="H45" i="3"/>
  <c r="H35" i="3"/>
  <c r="E39" i="3"/>
  <c r="D44" i="3"/>
  <c r="D45" i="3"/>
  <c r="E28" i="3"/>
  <c r="E29" i="3"/>
  <c r="E31" i="3"/>
  <c r="D47" i="3"/>
  <c r="D22" i="3"/>
  <c r="H44" i="3"/>
  <c r="E36" i="3"/>
  <c r="H47" i="3"/>
  <c r="K39" i="3"/>
  <c r="K48" i="3"/>
  <c r="K37" i="3"/>
  <c r="K44" i="3"/>
  <c r="K31" i="3"/>
  <c r="K38" i="3"/>
  <c r="K43" i="3"/>
  <c r="K33" i="3"/>
  <c r="K28" i="3"/>
  <c r="K45" i="3"/>
  <c r="K40" i="3"/>
  <c r="K34" i="3"/>
  <c r="K29" i="3"/>
  <c r="K46" i="3"/>
  <c r="K41" i="3"/>
  <c r="K35" i="3"/>
  <c r="K30" i="3"/>
  <c r="K47" i="3"/>
  <c r="K42" i="3"/>
  <c r="K36" i="3"/>
  <c r="I9" i="3"/>
  <c r="I10" i="3"/>
  <c r="J9" i="3" l="1"/>
  <c r="I6" i="3"/>
  <c r="J6" i="3" s="1"/>
  <c r="J11" i="3"/>
  <c r="J10" i="3"/>
  <c r="D49" i="3"/>
  <c r="I45" i="3" s="1"/>
  <c r="D23" i="3"/>
  <c r="G31" i="3" s="1"/>
  <c r="I5" i="3"/>
  <c r="J5" i="3" s="1"/>
  <c r="J12" i="3"/>
  <c r="L33" i="3" l="1"/>
  <c r="M33" i="3" s="1"/>
  <c r="L38" i="3"/>
  <c r="M38" i="3" s="1"/>
  <c r="L47" i="3"/>
  <c r="M47" i="3" s="1"/>
  <c r="L42" i="3"/>
  <c r="M42" i="3" s="1"/>
  <c r="L48" i="3"/>
  <c r="M48" i="3" s="1"/>
  <c r="F29" i="3"/>
  <c r="L46" i="3"/>
  <c r="M46" i="3" s="1"/>
  <c r="I28" i="3"/>
  <c r="L37" i="3"/>
  <c r="M37" i="3" s="1"/>
  <c r="I44" i="3"/>
  <c r="L29" i="3"/>
  <c r="M29" i="3" s="1"/>
  <c r="L41" i="3"/>
  <c r="M41" i="3" s="1"/>
  <c r="F43" i="3"/>
  <c r="J39" i="3"/>
  <c r="I29" i="3"/>
  <c r="I35" i="3"/>
  <c r="J31" i="3"/>
  <c r="F44" i="3"/>
  <c r="F30" i="3"/>
  <c r="J29" i="3"/>
  <c r="J43" i="3"/>
  <c r="J42" i="3"/>
  <c r="J30" i="3"/>
  <c r="L32" i="3"/>
  <c r="M32" i="3" s="1"/>
  <c r="F35" i="3"/>
  <c r="I30" i="3"/>
  <c r="I36" i="3"/>
  <c r="F33" i="3"/>
  <c r="J36" i="3"/>
  <c r="J44" i="3"/>
  <c r="F40" i="3"/>
  <c r="J41" i="3"/>
  <c r="J28" i="3"/>
  <c r="I42" i="3"/>
  <c r="I48" i="3"/>
  <c r="F45" i="3"/>
  <c r="L36" i="3"/>
  <c r="M36" i="3" s="1"/>
  <c r="I31" i="3"/>
  <c r="I37" i="3"/>
  <c r="F32" i="3"/>
  <c r="F38" i="3"/>
  <c r="J48" i="3"/>
  <c r="J34" i="3"/>
  <c r="I43" i="3"/>
  <c r="I38" i="3"/>
  <c r="F48" i="3"/>
  <c r="J37" i="3"/>
  <c r="J46" i="3"/>
  <c r="F46" i="3"/>
  <c r="J47" i="3"/>
  <c r="F37" i="3"/>
  <c r="J35" i="3"/>
  <c r="F41" i="3"/>
  <c r="F42" i="3"/>
  <c r="J33" i="3"/>
  <c r="J38" i="3"/>
  <c r="F34" i="3"/>
  <c r="J45" i="3"/>
  <c r="I33" i="3"/>
  <c r="F47" i="3"/>
  <c r="F28" i="3"/>
  <c r="J40" i="3"/>
  <c r="J32" i="3"/>
  <c r="I41" i="3"/>
  <c r="F39" i="3"/>
  <c r="F36" i="3"/>
  <c r="G44" i="3"/>
  <c r="G30" i="3"/>
  <c r="N2" i="3"/>
  <c r="G42" i="3"/>
  <c r="G32" i="3"/>
  <c r="N7" i="3"/>
  <c r="N11" i="3"/>
  <c r="G43" i="3"/>
  <c r="G48" i="3"/>
  <c r="N4" i="3"/>
  <c r="G35" i="3"/>
  <c r="G46" i="3"/>
  <c r="G37" i="3"/>
  <c r="N5" i="3"/>
  <c r="N16" i="3"/>
  <c r="G45" i="3"/>
  <c r="N18" i="3"/>
  <c r="G47" i="3"/>
  <c r="N17" i="3"/>
  <c r="N12" i="3"/>
  <c r="G38" i="3"/>
  <c r="G28" i="3"/>
  <c r="N10" i="3"/>
  <c r="N14" i="3"/>
  <c r="G39" i="3"/>
  <c r="N9" i="3"/>
  <c r="G33" i="3"/>
  <c r="N20" i="3"/>
  <c r="G34" i="3"/>
  <c r="N22" i="3"/>
  <c r="D50" i="3"/>
  <c r="G40" i="3"/>
  <c r="N19" i="3"/>
  <c r="G29" i="3"/>
  <c r="G41" i="3"/>
  <c r="N3" i="3"/>
  <c r="N15" i="3"/>
  <c r="N6" i="3"/>
  <c r="L44" i="3"/>
  <c r="M44" i="3" s="1"/>
  <c r="N21" i="3"/>
  <c r="L40" i="3"/>
  <c r="M40" i="3" s="1"/>
  <c r="L35" i="3"/>
  <c r="M35" i="3" s="1"/>
  <c r="G36" i="3"/>
  <c r="N13" i="3"/>
  <c r="L31" i="3"/>
  <c r="M31" i="3" s="1"/>
  <c r="I34" i="3"/>
  <c r="I46" i="3"/>
  <c r="I32" i="3"/>
  <c r="L28" i="3"/>
  <c r="M28" i="3" s="1"/>
  <c r="L45" i="3"/>
  <c r="M45" i="3" s="1"/>
  <c r="F31" i="3"/>
  <c r="I47" i="3"/>
  <c r="L34" i="3"/>
  <c r="M34" i="3" s="1"/>
  <c r="L30" i="3"/>
  <c r="M30" i="3" s="1"/>
  <c r="P28" i="3" a="1"/>
  <c r="P28" i="3" s="1"/>
  <c r="I40" i="3"/>
  <c r="L39" i="3"/>
  <c r="M39" i="3" s="1"/>
  <c r="L43" i="3"/>
  <c r="M43" i="3" s="1"/>
  <c r="I39" i="3"/>
  <c r="N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Ricardo Barbosa Sousa</author>
  </authors>
  <commentList>
    <comment ref="A5" authorId="0" shapeId="0" xr:uid="{4F2461D3-C286-48F5-BD93-A91CCE9150BF}">
      <text>
        <r>
          <rPr>
            <b/>
            <sz val="9"/>
            <color indexed="81"/>
            <rFont val="Tahoma"/>
            <charset val="1"/>
          </rPr>
          <t>Ricardo Barbosa Sousa:</t>
        </r>
        <r>
          <rPr>
            <sz val="9"/>
            <color indexed="81"/>
            <rFont val="Tahoma"/>
            <charset val="1"/>
          </rPr>
          <t xml:space="preserve">
dynamic</t>
        </r>
      </text>
    </comment>
    <comment ref="A9" authorId="0" shapeId="0" xr:uid="{84B39B30-172A-46E4-88B9-8E9C4D90C5E2}">
      <text>
        <r>
          <rPr>
            <b/>
            <sz val="9"/>
            <color indexed="81"/>
            <rFont val="Tahoma"/>
            <charset val="1"/>
          </rPr>
          <t>Ricardo Barbosa Sousa:</t>
        </r>
        <r>
          <rPr>
            <sz val="9"/>
            <color indexed="81"/>
            <rFont val="Tahoma"/>
            <charset val="1"/>
          </rPr>
          <t xml:space="preserve">
dynamic</t>
        </r>
      </text>
    </comment>
    <comment ref="A10" authorId="0" shapeId="0" xr:uid="{64AF61A8-4C65-4BCF-9DD0-F0E3EAD739A7}">
      <text>
        <r>
          <rPr>
            <b/>
            <sz val="9"/>
            <color indexed="81"/>
            <rFont val="Tahoma"/>
            <charset val="1"/>
          </rPr>
          <t>Ricardo Barbosa Sousa:</t>
        </r>
        <r>
          <rPr>
            <sz val="9"/>
            <color indexed="81"/>
            <rFont val="Tahoma"/>
            <charset val="1"/>
          </rPr>
          <t xml:space="preserve">
dynamic</t>
        </r>
      </text>
    </comment>
    <comment ref="A12" authorId="0" shapeId="0" xr:uid="{AB03A520-74E8-4FF9-85A2-F3E5768EE292}">
      <text>
        <r>
          <rPr>
            <b/>
            <sz val="9"/>
            <color indexed="81"/>
            <rFont val="Tahoma"/>
            <charset val="1"/>
          </rPr>
          <t>Ricardo Barbosa Sousa:</t>
        </r>
        <r>
          <rPr>
            <sz val="9"/>
            <color indexed="81"/>
            <rFont val="Tahoma"/>
            <charset val="1"/>
          </rPr>
          <t xml:space="preserve">
dynamic</t>
        </r>
      </text>
    </comment>
    <comment ref="A13" authorId="0" shapeId="0" xr:uid="{459E4F5C-E2A5-47DB-96AA-479CCD1D24EB}">
      <text>
        <r>
          <rPr>
            <b/>
            <sz val="9"/>
            <color indexed="81"/>
            <rFont val="Tahoma"/>
            <charset val="1"/>
          </rPr>
          <t>Ricardo Barbosa Sousa:</t>
        </r>
        <r>
          <rPr>
            <sz val="9"/>
            <color indexed="81"/>
            <rFont val="Tahoma"/>
            <charset val="1"/>
          </rPr>
          <t xml:space="preserve">
dynamic</t>
        </r>
      </text>
    </comment>
    <comment ref="A22" authorId="0" shapeId="0" xr:uid="{39DA9295-4666-4829-B52B-E6BEB05DBA67}">
      <text>
        <r>
          <rPr>
            <b/>
            <sz val="9"/>
            <color indexed="81"/>
            <rFont val="Tahoma"/>
            <charset val="1"/>
          </rPr>
          <t>Ricardo Barbosa Sousa:</t>
        </r>
        <r>
          <rPr>
            <sz val="9"/>
            <color indexed="81"/>
            <rFont val="Tahoma"/>
            <charset val="1"/>
          </rPr>
          <t xml:space="preserve">
Seems to be an extension of the 2 other works from Berrio!</t>
        </r>
      </text>
    </comment>
    <comment ref="A27" authorId="0" shapeId="0" xr:uid="{B7A70068-6692-4331-88CC-2CE824635816}">
      <text>
        <r>
          <rPr>
            <b/>
            <sz val="9"/>
            <color indexed="81"/>
            <rFont val="Tahoma"/>
            <charset val="1"/>
          </rPr>
          <t>Ricardo Barbosa Sousa:</t>
        </r>
        <r>
          <rPr>
            <sz val="9"/>
            <color indexed="81"/>
            <rFont val="Tahoma"/>
            <charset val="1"/>
          </rPr>
          <t xml:space="preserve">
already in the SLR</t>
        </r>
      </text>
    </comment>
    <comment ref="A28" authorId="0" shapeId="0" xr:uid="{D17749AB-CB39-4B01-B3D8-EA3107D6BCED}">
      <text>
        <r>
          <rPr>
            <b/>
            <sz val="9"/>
            <color indexed="81"/>
            <rFont val="Tahoma"/>
            <charset val="1"/>
          </rPr>
          <t>Ricardo Barbosa Sousa:</t>
        </r>
        <r>
          <rPr>
            <sz val="9"/>
            <color indexed="81"/>
            <rFont val="Tahoma"/>
            <charset val="1"/>
          </rPr>
          <t xml:space="preserve">
not available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<sst xmlns="http://schemas.openxmlformats.org/spreadsheetml/2006/main" count="858" uniqueCount="385">
  <si>
    <t>title</t>
  </si>
  <si>
    <t>author</t>
  </si>
  <si>
    <t>journal</t>
  </si>
  <si>
    <t>year</t>
  </si>
  <si>
    <t>source</t>
  </si>
  <si>
    <t>pages</t>
  </si>
  <si>
    <t>volume</t>
  </si>
  <si>
    <t>abstract</t>
  </si>
  <si>
    <t>document_type</t>
  </si>
  <si>
    <t>doi</t>
  </si>
  <si>
    <t>url</t>
  </si>
  <si>
    <t>affiliation</t>
  </si>
  <si>
    <t>author_keywords</t>
  </si>
  <si>
    <t>keywords</t>
  </si>
  <si>
    <t>publisher</t>
  </si>
  <si>
    <t>issn</t>
  </si>
  <si>
    <t>2</t>
  </si>
  <si>
    <t>IEEE Robotics and Automation Letters</t>
  </si>
  <si>
    <t>1--8</t>
  </si>
  <si>
    <t>IEEE Transactions on Intelligent Transportation Systems</t>
  </si>
  <si>
    <t>IEEE Access</t>
  </si>
  <si>
    <t>2169-3536</t>
  </si>
  <si>
    <t>7</t>
  </si>
  <si>
    <t>2022</t>
  </si>
  <si>
    <t>23</t>
  </si>
  <si>
    <t>Long-Term Map Maintenance Pipeline for Autonomous Vehicles</t>
  </si>
  <si>
    <t>J. S. Berrio and S. Worrall and M. Shan and E. Nebot</t>
  </si>
  <si>
    <t>1--14</t>
  </si>
  <si>
    <t>10.1109/TITS.2021.3094485</t>
  </si>
  <si>
    <t>10</t>
  </si>
  <si>
    <t>Ground Enhanced RGB-D SLAM for Dynamic Environments</t>
  </si>
  <si>
    <t>R. Guo and X. Liu</t>
  </si>
  <si>
    <t>1171--1177</t>
  </si>
  <si>
    <t>10.1109/ROBIO54168.2021.9739362</t>
  </si>
  <si>
    <t>31</t>
  </si>
  <si>
    <t>5</t>
  </si>
  <si>
    <t>Pole-like Objects Mapping and Long-Term Robot Localization in Dynamic Urban Scenarios</t>
  </si>
  <si>
    <t>Z. Wang and S. Li and M. Cao and H. Chen and Y. Liu</t>
  </si>
  <si>
    <t>998--1003</t>
  </si>
  <si>
    <t>10.1109/ROBIO54168.2021.9739599</t>
  </si>
  <si>
    <t>Dimensions</t>
  </si>
  <si>
    <t>Journal of Field Robotics</t>
  </si>
  <si>
    <t>43</t>
  </si>
  <si>
    <t>15</t>
  </si>
  <si>
    <t>El Compendex</t>
  </si>
  <si>
    <t>0921-8890</t>
  </si>
  <si>
    <t>Z. S. Hashemifar and C. Adhivarahan and A. Balakrishnan and K. Dantu</t>
  </si>
  <si>
    <t>2245--2260</t>
  </si>
  <si>
    <t>10.1007/s10514-019-09874-z</t>
  </si>
  <si>
    <t>0929-5593</t>
  </si>
  <si>
    <t>39</t>
  </si>
  <si>
    <t>ISI Web of Science</t>
  </si>
  <si>
    <t>Article</t>
  </si>
  <si>
    <t>C. Sung and S. Jeon and H. Lim and H. Myung</t>
  </si>
  <si>
    <t>10.1007/s11370-021-00395-2</t>
  </si>
  <si>
    <t>Scopus</t>
  </si>
  <si>
    <t>Conference Paper</t>
  </si>
  <si>
    <t>Institute of Electrical and Electronics Engineers Inc.</t>
  </si>
  <si>
    <t>23773766</t>
  </si>
  <si>
    <t>Elsevier B.V.</t>
  </si>
  <si>
    <t>Proceedings - IEEE International Conference on Robotics and Automation</t>
  </si>
  <si>
    <t>10504729</t>
  </si>
  <si>
    <t>15564959</t>
  </si>
  <si>
    <t>What if there was no revisit? Large-scale graph-based SLAM with traffic sign detection in an HD map using LiDAR inertial odometry</t>
  </si>
  <si>
    <t>Intelligent Service Robotics</t>
  </si>
  <si>
    <t>Accurate localization and mapping in a large-scale environment is an essential system of an autonomous vehicle. The difficulty of the previous LiDAR or LiDAR-inertial simultaneous localization and mapping (SLAM) methods is correcting long-term drift error in a large-scale environment. This paper proposes a novel approach of a large-scale, graph-based SLAM with traffic sign data involved in a high-definition (HD) map. The graph of the system is structured with the inertial measurement unit (IMU) factor, LiDAR-inertial odometry factor, map-matching factor, and loop closure factor. The local sliding window-based optimization method is employed for real-time processing. As a result, the proposed method improves the accuracy of the localization and mapping compared with the state-of-the-art LiDAR or LiDAR-inertial SLAM methods. In addition, the proposed method can localize accurately without revisit, required for conventional graph-based SLAM for graph optimization, unlike previous studies. The proposed method is intensively validated with a data set collected in a city where the Global Navigation Satellite System (GNSS) signal is unreliable and on a university campus. © 2021, The Author(s), under exclusive licence to Springer-Verlag GmbH Germany, part of Springer Nature.</t>
  </si>
  <si>
    <t>Robotics Program, KI-AI, KI-R at KAIST (Korea Advanced Institute of Science and Technology), Daejeon, 34141, South Korea; School of Electrical Engineering, KI-AI, KI-R at KAIST (Korea Advanced Institute of Science and Technology), Daejeon, 34141, South Korea</t>
  </si>
  <si>
    <t>3D LiDAR SLAM;  3D point cloud map;  Autonomous vehicle;  HD map</t>
  </si>
  <si>
    <t>Digital television;  Global positioning system;  Mapping;  Optical radar;  Robotics, 3d LiDAR simultaneous localization and mapping;  3D point cloud;  3d point cloud map;  Autonomous Vehicles;  Cloud map;  Graph-based;  High definition;  High-definition map;  Large-scales;  Simultaneous localization and mapping, Autonomous vehicles</t>
  </si>
  <si>
    <t>Springer Science and Business Media Deutschland GmbH</t>
  </si>
  <si>
    <t>18612776</t>
  </si>
  <si>
    <t>Kluwer Academic Publishers</t>
  </si>
  <si>
    <t>ISPRS Journal of Photogrammetry and Remote Sensing</t>
  </si>
  <si>
    <t>09242716</t>
  </si>
  <si>
    <t>John Wiley and Sons Inc</t>
  </si>
  <si>
    <t>15249050</t>
  </si>
  <si>
    <t>Lecture Notes in Electrical Engineering</t>
  </si>
  <si>
    <t>18761100</t>
  </si>
  <si>
    <t>ISPRS Annals of the Photogrammetry, Remote Sensing and Spatial Information Sciences</t>
  </si>
  <si>
    <t>Copernicus GmbH</t>
  </si>
  <si>
    <t>21949042</t>
  </si>
  <si>
    <t>Feature extraction;  Maintenance;  Pipelines, Geometrical relationship;  High-accuracy;  Localisation;  Localisation Systems;  Position information;  Relevant features;  Transient features;  Typical urban, Autonomous vehicles</t>
  </si>
  <si>
    <t>QE score</t>
  </si>
  <si>
    <t>QE1: related</t>
  </si>
  <si>
    <t>QE2: method</t>
  </si>
  <si>
    <t>QE4: hw+sw</t>
  </si>
  <si>
    <t>QE3: l+m</t>
  </si>
  <si>
    <t>QE5: long</t>
  </si>
  <si>
    <t>QE6: others</t>
  </si>
  <si>
    <t>QE7: public</t>
  </si>
  <si>
    <t>QE8: results</t>
  </si>
  <si>
    <t>QE options</t>
  </si>
  <si>
    <t>full</t>
  </si>
  <si>
    <t>partial</t>
  </si>
  <si>
    <t>none</t>
  </si>
  <si>
    <t>weights:</t>
  </si>
  <si>
    <t>QE scores</t>
  </si>
  <si>
    <t>#records</t>
  </si>
  <si>
    <t xml:space="preserve">total: </t>
  </si>
  <si>
    <t>Analysis of the quality scores' distribution</t>
  </si>
  <si>
    <t>cut-off score</t>
  </si>
  <si>
    <t>%rejected</t>
  </si>
  <si>
    <t>%included</t>
  </si>
  <si>
    <t>QE parsifal</t>
  </si>
  <si>
    <t>QE R1:
QE2/3/5/8</t>
  </si>
  <si>
    <t>QE R2:
cut-off</t>
  </si>
  <si>
    <t xml:space="preserve">cut-off score: </t>
  </si>
  <si>
    <t>Rejection based on QE2,3,5,8 and cut-off score</t>
  </si>
  <si>
    <t>Rejection based on the cut-off score criteria-only</t>
  </si>
  <si>
    <t>1. QE2,3,5,8</t>
  </si>
  <si>
    <t>2. cut-off</t>
  </si>
  <si>
    <t>include?</t>
  </si>
  <si>
    <t>ACM Digital Library</t>
  </si>
  <si>
    <t>IEEE Press</t>
  </si>
  <si>
    <t>%</t>
  </si>
  <si>
    <t>Analysis on applying the 1. rejection criterion</t>
  </si>
  <si>
    <t xml:space="preserve">rejected: </t>
  </si>
  <si>
    <t>avg y</t>
  </si>
  <si>
    <t>std y</t>
  </si>
  <si>
    <t>from table2</t>
  </si>
  <si>
    <t>Y</t>
  </si>
  <si>
    <t>^Y</t>
  </si>
  <si>
    <t>^#records</t>
  </si>
  <si>
    <t>error</t>
  </si>
  <si>
    <t>indeed, a normal distribution is not appropriate for this analysis…</t>
  </si>
  <si>
    <t>%cumul #</t>
  </si>
  <si>
    <t>cumul #</t>
  </si>
  <si>
    <t>%cumul # total</t>
  </si>
  <si>
    <t>inv cuml #</t>
  </si>
  <si>
    <t>%inv cuml #</t>
  </si>
  <si>
    <t>Efficient Large-scale Localization by Global Instance Recognition</t>
  </si>
  <si>
    <t>F. Xue and I. Budvytis and D. O. Reino and R. Cipolla</t>
  </si>
  <si>
    <t>2022 IEEE/CVF Conference on Computer Vision and Pattern Recognition (CVPR)</t>
  </si>
  <si>
    <t>17327--17336</t>
  </si>
  <si>
    <t>Hierarchical frameworks consisting of both coarse and fine localization are often used as the standard pipeline for large-scale visual localization. Despite their promising performance in simple environments, they still suffer from low efficiency and accuracy in large-scale scenes, especially under challenging conditions. In this paper, we propose an efficient and accurate large-scale localization framework based on the recognition of buildings, which are not only discriminative for coarse localization but also robust for fine localization. Specifically, we assign each building instance a global ID and perform pixel-wise recognition of these global instances in the localization process. For coarse localization, we employ an efficient reference search strategy to find candidates progressively from the local map observing recognized instances instead of the whole database. For fine localization, predicted labels are further used for instance-wise feature detection and matching, allowing our model to focus on fewer but more robust keypoints for establishing correspondences. The experiments in long-term large-scale localization datasets including Aachen and RobotCar-Seasons demonstrate that our method outperforms previous approaches consistently in terms of both efficiency and accuracy.</t>
  </si>
  <si>
    <t>10.1109/CVPR52688.2022.01683</t>
  </si>
  <si>
    <t>http://dx.doi.org/10.1109/CVPR52688.2022.01683</t>
  </si>
  <si>
    <t>database indexing;feature extraction;image classification;image representation;image retrieval;object recognition;SLAM (robots);visual databases;</t>
  </si>
  <si>
    <t>PSE-Match: A Viewpoint-Free Place Recognition Method With Parallel Semantic Embedding</t>
  </si>
  <si>
    <t>P. Yin and L. Xu and Z. Feng and A. Egorov and B. Li</t>
  </si>
  <si>
    <t>11249--11260</t>
  </si>
  <si>
    <t>Accurate localization on the autonomous driving cars is essential for autonomy and driving safety, especially for complex urban streets and search-and-rescue subterranean environments where high-accurate GPS is not available. However current odometry estimation may introduce the drifting problems in long-term navigation without robust global localization. The main challenges involve scene divergence under the interference of dynamic environments and effective perception of observation and object layout variance from different viewpoints. To tackle these challenges, we present PSE-Match, a viewpoint-free place recognition method based on parallel semantic analysis of isolated semantic attributes from 3D point-cloud models. Compared with the original point cloud, the observed variance of semantic attributes is smaller. PSE-Match incorporates a divergence place learning network to capture different semantic attributes parallelly through the spherical harmonics domain. Using both existing benchmark datasets and two in-field collected datasets, our experiments show that the proposed method achieves above 70% average recall with top one retrieval and above 95% average recall with top ten retrieval cases. And PSE-Match has also demonstrated an obvious generalization ability with limited training dataset.</t>
  </si>
  <si>
    <t>10.1109/TITS.2021.3102429</t>
  </si>
  <si>
    <t>http://dx.doi.org/10.1109/TITS.2021.3102429</t>
  </si>
  <si>
    <t>distance measurement;feature extraction;Global Positioning System;image matching;image recognition;learning (artificial intelligence);mobile robots;object detection;object recognition;path planning;pose estimation;robot vision;SLAM (robots);traffic engineering computing;</t>
  </si>
  <si>
    <t>1558-0016</t>
  </si>
  <si>
    <t>161--170</t>
  </si>
  <si>
    <t>https://www.scopus.com/inward/record.uri?eid=2-s2.0-85119883895&amp;doi=10.1007%2fs11370-021-00395-2&amp;partnerID=40&amp;md5=e6484ae16ab950e697e62c2335a54e66</t>
  </si>
  <si>
    <t>A LiDAR-based single-shot global localization solution using a cross-section shape context descriptor</t>
  </si>
  <si>
    <t>D. Xu and J. Liu and Y. Liang and X. Lv and J. Hyyppä</t>
  </si>
  <si>
    <t>272--288</t>
  </si>
  <si>
    <t>189</t>
  </si>
  <si>
    <t>Fusing LiDAR and high definition (HD) maps is a feasible way to achieve global localization in GNSS-denied environments, which is necessary in driverless vehicle and robotic technologies. This paper proposes a single-shot global localization solution that uses only a single current scan of a rotating multiple-beam LiDAR sensor to locate its own location and pose with respect to an HD map in the form of georeferenced point clouds. This single-shot global localization solution estimates the state of the current moment without the previous moment state and thus avoids the nonconvergence problems that plague filter-based methods. The proposed solution allows HD maps from diverse LiDAR sensors to be used for global localization and is more robust than existing methods. The proposed solution consists of two procedures: offline preprocessing and online global localization. In the offline procedure, diverse HD maps are preprocessed to construct a global prior map for the localization process. The online global localization procedure includes two elements: place recognition, location and pose estimation. A novel Cross-Section Shape Context (CSSC) descriptor that is highly descriptive and rotation-invariant is proposed for subsequent processes. Two strategies, two-stage similarity estimation and Nearest Cluster Distance Ratio (NCDR), based on the CSSC descriptor are proposed to improve place recognition precision. A Selective Generalized Iterative Closest Point (SGICP) algorithm is proposed to calculate location and pose accurately using the CSSC descriptor. Comprehensive experiments were performed to evaluate this solution. A comparison of the precision-recall curve of multiple scenes, particularly under changed viewpoint scenes, shows that the CSSC descriptor is more robust than existing descriptors. Experimental analysis also confirms that the proposed strategies, two-stage similarity estimation and NCDR, improve place recognition precision. Also, compared to the generalized iterative closest point algorithm, the SGICP algorithm achieved better accuracy by 31% and efficiency by 60%. The proposed solution achieves a mean relative translation error (RTE) improvement of 27% over the OneShot algorithm on the KITTI dataset. The proposed solution had an average 77% improvement over 1σ RTE relative to the benchmark in tests with the long-term localization NCLT dataset. The mean RTE of the proposed solution was 0.13 m using HD maps from different LiDAR sensors. Our code is available at: https://github.com/Dongxu05/CSSC. © 2022 International Society for Photogrammetry and Remote Sensing, Inc. (ISPRS)</t>
  </si>
  <si>
    <t>10.1016/j.isprsjprs.2022.05.005</t>
  </si>
  <si>
    <t>https://www.scopus.com/inward/record.uri?eid=2-s2.0-85131074637&amp;doi=10.1016%2fj.isprsjprs.2022.05.005&amp;partnerID=40&amp;md5=1c8c4212fc5b3bab40360e59c855cfd7</t>
  </si>
  <si>
    <t>State Key Laboratory of Information Engineering in Surveying, Mapping and Remote Sensing, Wuhan University, Wuhan, 430079, China; Department of Remote Sensing and Photogrammetry, Finnish Geospatial Research Institute, Masala, 02430, Finland</t>
  </si>
  <si>
    <t>Global feature descriptor;  Global localization;  HD map;  LiDAR;  Place recognition</t>
  </si>
  <si>
    <t>Digital television;  Iterative methods;  Optical radar;  Statistical tests, Cross section shape;  Descriptors;  Feature descriptors;  Global feature;  Global feature descriptor;  Global localization;  High definition;  High definition map;  LiDAR;  Place recognition, Location, accuracy assessment;  algorithm;  benchmarking;  cross section;  data set;  error analysis;  lidar;  recognition</t>
  </si>
  <si>
    <t>LT-mapper: A Modular Framework for LiDAR-based Lifelong Mapping</t>
  </si>
  <si>
    <t>G. Kim and A. Kim</t>
  </si>
  <si>
    <t>7995--8002</t>
  </si>
  <si>
    <t>Long-term 3D map management is a fundamental capability required by a robot to reliably navigate in the non-stationary real-world. This paper develops open-source, modular, and readily available LiDAR-based lifelong mapping for urban sites. This is achieved by dividing the problem into successive subproblems: multi-session SLAM (MSS), high/low dynamic change detection, and positive/negative change management. The proposed method leverages MSS and minimizes potential trajectory error; thus, a manual or good initial alignment is not required for change detection. Our change management scheme preserves efficacy in both memory and computation costs, providing automatic object segregation from a large-scale point cloud map. We verify the framework's reliability and applicability even under permanent year-level variation, through extensive real-world experiments with multiple temporal gaps (from day to year). © 2022 IEEE.</t>
  </si>
  <si>
    <t>10.1109/ICRA46639.2022.9811916</t>
  </si>
  <si>
    <t>https://www.scopus.com/inward/record.uri?eid=2-s2.0-85125689648&amp;doi=10.1109%2fICRA46639.2022.9811916&amp;partnerID=40&amp;md5=5729d69c551033bccd0eb450674c063c</t>
  </si>
  <si>
    <t>Autonomous Driving Group, Naver Labs, Gyeonggi-do, Seongnam-si, South Korea; Snu, Department of Mechanical Engineering, Seoul, South Korea</t>
  </si>
  <si>
    <t>Optical radar;  Robotics;  Satellites;  Urban growth, 3D maps;  Change management;  Management IS;  Map managements;  Modular framework;  Modulars;  Nonstationary;  Open-source;  Real-world;  Urban site, Mapping</t>
  </si>
  <si>
    <t>Automatic vocabulary and graph verification for accurate loop closure detection</t>
  </si>
  <si>
    <t>H. Yue and J. Miao and W. Chen and W. Wang and F. Guo and Z. Li</t>
  </si>
  <si>
    <t>1071--1086</t>
  </si>
  <si>
    <t>Localizing previously visited places during long-term localization and mapping, that is, loop closure detection (LCD), is a crucial technique to correct accumulated inconsistencies. In common bag-of-words (BoW) model, a visual vocabulary is built to associate features for detecting loops. Currently, methods that build vocabularies off-line determine scales of the vocabulary by trial-and-error, which results in unreasonable feature association. Moreover, the detection precision of the algorithm declines due to perceptual aliasing given that the BoW-based method ignores the positions of visual features. To build the optimal vocabulary automatically and eliminate human heuristics, we propose a natural convergence criterion based on the comparison between the radii of nodes and the drifts of feature descriptors in vocabulary construction. Furthermore, a novel topological graph verification method is proposed for validating loop candidates, which can effectively distinguish visual ambiguities by involving geometrical position of features and thus improve the precision of LCD. Experiments on various public datasets verify the effectiveness of our proposed approach. © 2022 Wiley Periodicals LLC.</t>
  </si>
  <si>
    <t>10.1002/rob.22088</t>
  </si>
  <si>
    <t>https://www.scopus.com/inward/record.uri?eid=2-s2.0-85131601373&amp;doi=10.1002%2frob.22088&amp;partnerID=40&amp;md5=293cb3e9267961a34c773862f6339696</t>
  </si>
  <si>
    <t>School of Automation Science and Electrical Engineering, Beihang University, Beijing, 100191, China; Department of Computer Science, University of Oxford, Oxford, United Kingdom; Department of Automation, Zhejiang University of Technology, Hangzhou, China; Robotics Department, Institute for Infocomm Research, Singapore, Singapore</t>
  </si>
  <si>
    <t>bag of words;  feature association;  loop closure detection;  simultaneous localization and mapping (SLAM)</t>
  </si>
  <si>
    <t>Feature extraction;  Information retrieval;  Mapping;  Robotics, Bag of words;  Bag-of-words models;  Feature association;  Localization and mappings;  Loop closure;  Loop closure detection;  Simultaneous localization and mapping;  Trial and error;  Visual vocabularies, Topology</t>
  </si>
  <si>
    <t>10427--10440</t>
  </si>
  <si>
    <t>For autonomous vehicles to operate persistently in a typical urban environment, it is essential to have high accuracy position information. This requires a mapping and localisation system that can adapt to changes over time. A localisation approach based on a single-survey map will not be suitable for long-term operation as it does not incorporate variations in the environment. In this paper, we present new algorithms to maintain a featured-based map. A map maintenance pipeline is proposed that can continuously update a map with the most relevant features taking advantage of the changes in the surroundings. Our pipeline detects and removes transient features based on their geometrical relationships with the vehicle's pose. Newly identified features became part of a new feature map and are assessed by the pipeline as candidates for the localisation map. By purging out-of-date features and adding newly detected features, we continually update the prior map to more accurately represent the most recent environment. We have validated our approach using the USyd Campus Dataset, which includes more than 18 months of data. The results presented demonstrate that our maintenance pipeline produces a resilient map which can provide sustained localisation performance over time. © 2000-2011 IEEE.</t>
  </si>
  <si>
    <t>https://www.scopus.com/inward/record.uri?eid=2-s2.0-85110835631&amp;doi=10.1109%2fTITS.2021.3094485&amp;partnerID=40&amp;md5=31d95a0a9abb9d0a523480e40ef5f5f9</t>
  </si>
  <si>
    <t>The University of Sydney, Australian Centre for Field Robotics (ACFR), Sydney, NSW  2006, Australia</t>
  </si>
  <si>
    <t>feature-based map;  Long-term localisation;  map update</t>
  </si>
  <si>
    <t>A Novel Lidar-Assisted Monocular Visual SLAM Framework for Mobile Robots in Outdoor Environments</t>
  </si>
  <si>
    <t>J. Yin and D. Luo and F. Yan and Y. Zhuang</t>
  </si>
  <si>
    <t>IEEE Transactions on Instrumentation and Measurement</t>
  </si>
  <si>
    <t>1--11</t>
  </si>
  <si>
    <t>71</t>
  </si>
  <si>
    <t>In this article, a novel 3-D lidar-assisted monocular visual simultaneous localization and mapping (LAMV-SLAM) framework is proposed for mobile robots in outdoor environments. LAMV-SLAM can run in real time without a GPU and build a dense map with real scale. An online photometric calibration thread is integrated into LAMV-SLAM to eliminate the photometric disturbances in images. The tracking thread combines the lidar and vision data to estimate and refine the frame-to-frame transformation. In this thread, the depth fusion algorithm is proposed to provide accurate depth values for the extracted visual features by combining the lidar points, and a novel two-stage optimization method is proposed to utilize the fused lidar-vision data to estimate the camera transformation with the real scale. A parallel mapping thread generates new map points based on depth filter and lidar-vision data fusion. A loop closing thread further reduces the accumulative errors of the system. To verify the accuracy and efficiency of the system, we evaluated the proposed pipeline on the KITTI odometry benchmark, and our LAMV-SLAM achieves a 0.81% of relative position drift while running at over 3× real-time speed. To verify the robustness of the system in challenging environments, experiments were carried out on the North Campus Long-Term (NCLT) and NuScenes datasets. Moreover, real-world experiments were applied to our mobile robot platform to show the practicability and validity of the proposed approach. © 1963-2012 IEEE.</t>
  </si>
  <si>
    <t>10.1109/TIM.2022.3190031</t>
  </si>
  <si>
    <t>https://www.scopus.com/inward/record.uri?eid=2-s2.0-85134211752&amp;doi=10.1109%2fTIM.2022.3190031&amp;partnerID=40&amp;md5=95a0ad11500593156fa4e83e1754f2d2</t>
  </si>
  <si>
    <t>Dalian University of Technology, School of Control Science and Engineering, Dalian, 116024, China</t>
  </si>
  <si>
    <t>Depth fusion;  Lidar-assisted monocular visual simultaneous localization and mapping (LAMV-SLAM);  Mobile robots;  Online photometric calibration</t>
  </si>
  <si>
    <t>Calibration;  Cameras;  Data fusion;  Interactive computer systems;  Mapping;  Metadata;  Mobile robots;  Online systems;  Optical radar;  Photometry, Depth fusion;  Lidar-assisted monocular visual SLAM;  Monocular visual SLAM;  Online photometric calibration;  Outdoor environment;  Photometric calibration;  Real - Time system;  Real- time;  Simultaneous localization and mapping;  Vision data, Real time systems</t>
  </si>
  <si>
    <t>00189456</t>
  </si>
  <si>
    <t>Feature Based Multi-Hypothesis Map Representation for Localization in Non-Static Environments</t>
  </si>
  <si>
    <t>K. Nielsen and G. Hendeby</t>
  </si>
  <si>
    <t>2022 25th International Conference on Information Fusion, FUSION 2022</t>
  </si>
  <si>
    <t>Long-term autonomy of robots requires localization in an inevitably changing environment, where the robots' knowledge about the surroundings are more or less uncertain. Inspired by methods in target tracking, this paper proposes a feature based multi-hypothesis map representation to provide robust localization under these conditions. It is derived how this representation can be used to obtain consistent position estimates while at the same time providing up-to-date map information to be shared by cooperative robots or for visual presentation. Simulations are performed that conceptually highlights the benefit of the developed solution in an environment where uniquely identifiable landmarks are moved between discrete positions. This relates to a real world scenario where a robot moves in a corridor with office doors opened or closed at different times. © 2022 International Society of Information Fusion.</t>
  </si>
  <si>
    <t>10.23919/FUSION49751.2022.9841255</t>
  </si>
  <si>
    <t>https://www.scopus.com/inward/record.uri?eid=2-s2.0-85136550049&amp;doi=10.23919%2fFUSION49751.2022.9841255&amp;partnerID=40&amp;md5=4ac34d3661b9366437568bd57954398c</t>
  </si>
  <si>
    <t>Epiroc Rock Drills Ab, Örebro, Sweden; Linköping University, Dept. Electrical Engineering, Linköping, Sweden</t>
  </si>
  <si>
    <t>localization;  multi-hypothesis</t>
  </si>
  <si>
    <t>Information fusion;  Target tracking, Changing environment;  Condition;  Feature-based;  Localisation;  Map representations;  Multi-hypothesis;  Position estimates;  Robot knowledge;  Static environment;  Targets tracking, Robots</t>
  </si>
  <si>
    <t>Sparse Semantic Map-Based Monocular Localization in Traffic Scenes Using Learned 2D-3D Point-Line Correspondences</t>
  </si>
  <si>
    <t>X. Chen and J. Xue and S. Pang</t>
  </si>
  <si>
    <t>11894--11901</t>
  </si>
  <si>
    <t>Vision-based localization in a prior map is of crucial importance for autonomous vehicles. Given a query image, the goal is to estimate the camera pose corresponding to the prior map, and the key is the registration problem of camera images within the map. While autonomous vehicles drive on the road under occlusion (e.g., car, bus, truck) and changing environment appearance (e.g., illumination changes, seasonal variation), existing approaches rely heavily on dense point descriptors at the feature level to solve the registration problem, entangling features with appearance and occlusion. As a result, they often fail to estimate the correct poses. To address these issues, we propose a sparse semantic map-based monocular localization method, which solves 2D-3D registration via a well-designed deep neural network. Given a sparse semantic map that consists of simplified elements (e.g., pole lines, traffic sign midpoints) with multiple semantic labels, the camera pose is then estimated by learning the corresponding features between the 2D semantic elements from the image and the 3D elements from the sparse semantic map. The proposed sparse semantic map-based localization approach is robust against occlusion and long-term appearance changes in the environments. Extensive experimental results show that the proposed method outperforms the state-of-the-art approaches. © 2016 IEEE.</t>
  </si>
  <si>
    <t>10.1109/LRA.2022.3207800</t>
  </si>
  <si>
    <t>https://www.scopus.com/inward/record.uri?eid=2-s2.0-85139426231&amp;doi=10.1109%2fLRA.2022.3207800&amp;partnerID=40&amp;md5=8d792f96b194a1021f8c080a760182fa</t>
  </si>
  <si>
    <t>Xi'an Jiaotong University, Xi'an, 710049, China</t>
  </si>
  <si>
    <t>Localization;  visual learning</t>
  </si>
  <si>
    <t>Computer vision;  Deep neural networks;  Intelligent vehicle highway systems;  Semantics;  Traffic signs, Autonomous Vehicles;  Line correspondence;  Localisation;  Pose corresponding;  Query images;  Registration problems;  Semantic map;  Traffic scene;  Vision based localization;  Visual learning, Cameras</t>
  </si>
  <si>
    <t>CorAl: Introspection for robust radar and lidar perception in diverseenvironments using differential entropy</t>
  </si>
  <si>
    <t>D. Adolfsson and M. Castellano-Quero and A. J. M. A. L. Magnusson and H. Andreasson</t>
  </si>
  <si>
    <t>ROBOTICS AND AUTONOMOUS SYSTEMS</t>
  </si>
  <si>
    <t>104136</t>
  </si>
  <si>
    <t>155</t>
  </si>
  <si>
    <t>Robust perception is an essential component to enable long-term_x000D_
operation of mobile robots. It depends on failure resilience through_x000D_
reliable sensor data and pre-processing, as well as failure awareness_x000D_
through introspection, for example the ability to self-assess_x000D_
localization performance. This paper presents CorAl: a principled,_x000D_
intuitive, and generalizable method to measure the quality of alignment_x000D_
between pairs of point clouds, which learns to detect alignment errors_x000D_
in a self-supervised manner. CorAl compares the differential entropy in_x000D_
the point clouds separately with the entropy in their union to account_x000D_
for entropy inherent to the scene. By making use of dual entropy_x000D_
measurements, we obtain a quality metric that is highly sensitive to_x000D_
small alignment errors and still generalizes well to unseen_x000D_
environments. In this work, we extend our previous work on lidar-only_x000D_
CorAl to radar data by proposing a two-step filtering technique that_x000D_
produces high-quality point clouds from noisy radar scans. Thus, we_x000D_
target robust perception in two ways: by introducing a method that_x000D_
introspectively assesses alignment quality, and by applying it to an_x000D_
inherently robust sensor modality. We show that our filtering technique_x000D_
combined with CorAl can be applied to the problem of alignment_x000D_
classification, and that it detects small alignment errors in urban_x000D_
settings with up to 98\% accuracy, and with up to 96\% if trained only_x000D_
in a different environment. Our lidar and radar experiments demonstrate_x000D_
that CorAl outperforms previous methods both on the ETH lidar benchmark,_x000D_
which includes several indoor and outdoor environments, and the_x000D_
large-scale Oxford and MulRan radar data sets for urban traffic_x000D_
scenarios. The results also demonstrate that CorAl generalizes very well_x000D_
across substantially different environments without the need of_x000D_
retraining. (C) 2022 The Author( s ). Published by Elsevier B.V.</t>
  </si>
  <si>
    <t>10.1016/j.robot.2022.104136</t>
  </si>
  <si>
    <t>Adolfsson, D (Corresponding Author), Orebro Univ, MRO Lab, AASS Res Ctr, Orebro, Sweden.Adolfsson, Daniel; Castellano-Quero, Manuel; Magnusson, Martin; Lilienthal, Achim J.; Andreasson, Henrik, Orebro Univ, MRO Lab, AASS Res Ctr, Orebro, Sweden.</t>
  </si>
  <si>
    <t>Radar; Introspection; Localization</t>
  </si>
  <si>
    <t>OGI-SLAM2:A hybrid map SLAM framework grounded in inertial-based SLAM</t>
  </si>
  <si>
    <t>Y. Ding and Z. Xiong and J. Xiong and Y. Cui and Z. Cao</t>
  </si>
  <si>
    <t>Indoor localization using mobile sensors has gained momentum lately. However, indoor pedestrian localization with low-cost IMU has not been practically applied, and the main challenge is that it is difficult for low-cost IMU to obtain high-precision localization performance over a long period of time. In this paper, we propose a multi-source fusion indoor pedestrian autonomous localization framework combining landmark maps and occupancy grid maps. Combining the ideas of optimization and occupancy grid map-based inertial SLAM algorithm(OGI-SLAM), we maintain the short- and medium-term localization accuracy with OGI-SLAM, and achieve long-term localization accuracy improvement with keypoint maps. Without prior knowledge of the map, we use user motion features and environmental features to extract keypoints in the trajectory and construct keypoint descriptors. Combining the uncertainty of system location and the similarity of environmental features, we propose a keypoint extraction and association method to solve the problem of inaccurate particle filtering loop closing with low-cost IMU. In addition, a two-step trajectory optimization method is proposed, which uses bundle adjustment to correct the positioning error of keypoints and models the error correction of common points between keypoints as affine transformation, avoiding the large matrix inversion operation in the optimization process. Simulations and field trial evaluations show that the system is able to achieve a maximum positioning accuracy of 1.64 meters with low-performance IMU on board, representing a 57% maximum improvement in positioning accuracy compared to OGI-SLAM. This highlights the promise of OGI-SLAM2 as an unconventional indoor positioning method. IEEE</t>
  </si>
  <si>
    <t>10.1109/TIM.2022.3209726</t>
  </si>
  <si>
    <t>https://www.scopus.com/inward/record.uri?eid=2-s2.0-85139513537&amp;doi=10.1109%2fTIM.2022.3209726&amp;partnerID=40&amp;md5=ec901aa196e78c90369a034e1d88ea2e</t>
  </si>
  <si>
    <t>College of Automation, Nanjing University of Aeronautics and Astronautics, Nanjing, Jiangsu, P.R.China; School of Internet of Things, Nanjing University of Posts and Telecommunications, Nanjing, Jiangsu, P.R.China</t>
  </si>
  <si>
    <t>Bundle adjustment;  bundle adjustment;  Feature extraction;  indoor navigation;  Location awareness;  Optimization;  particle filter;  pedestrian dead reckoning;  Sensors;  Simultaneous localization and mapping;  simultaneous localization and mapping (SLAM);  Trajectory</t>
  </si>
  <si>
    <t>Costs;  Error correction;  Extended Kalman filters;  Extraction;  Indoor positioning systems;  Linear transformations;  Mapping;  Monte Carlo methods;  Navigation;  Robotics, Bundle adjustments;  Features extraction;  Indoor navigation;  Location awareness;  Optimisations;  Particle filter;  Pedestrian dead reckonings;  Simultaneous localization and mapping, Trajectories</t>
  </si>
  <si>
    <t>TOWARDS ROBUST INDOOR VISUAL SLAM AND DENSE RECONSTRUCTION FOR MOBILE ROBOTS</t>
  </si>
  <si>
    <t>W. Zhang and S. Wang and N. Haala</t>
  </si>
  <si>
    <t>211--219</t>
  </si>
  <si>
    <t>Mobile robots are being increasingly employed in various indoor scenarios. The fundamental prerequisite is that the robot can reconstruct an accurate and complete map of the observed environment and estimate the track of its movements in this map. Current visual SLAM methods can perform this task reasonably well, but mostly in small spaces, such as a single room, and often tested in well-textured environments. In real-world applications of large indoor scenes, they lack robustness and fail to build a globally consistent map. To this end, we propose a novel system that can robustly solve the problem encountered by existing visual SLAM methods, such as weak texture and long-term drift. By combining information from a wheel odometer, the robot poses can be predicted smoothly in the absence of texture. The geometric cues are leveraged by aligning Truncated Signed Distance Function (TSDF) based submaps to minimize the long-term drift. To reconstruct a more complete and accurate dense map, we refine the sensor depth maps by taking advantage of color information and the optimization result of global bundle adjustment. As a result, the system can provide precise trajectory estimation and a globally consistent map for the downstream tasks. We validate the accuracy and robustness of the proposed method on both public and self-collected datasets and show the complementary nature of each module. Evaluation results based on high precision ground-truth show an improvement in the mean Absolute Trajectory Error (ATE) from 21 cm to 2 cm for the trajectory estimation, and the reconstructed map has a mean accuracy of 8 cm. © 2022 Copernicus GmbH. All rights reserved.</t>
  </si>
  <si>
    <t>10.5194/isprs-annals-V-1-2022-211-2022</t>
  </si>
  <si>
    <t>https://www.scopus.com/inward/record.uri?eid=2-s2.0-85132803753&amp;doi=10.5194%2fisprs-annals-V-1-2022-211-2022&amp;partnerID=40&amp;md5=94f0efd3234091dbe90b493266e20dc4</t>
  </si>
  <si>
    <t>Institute for Photogrammetry, University of Stuttgart, Germany; Audiovisual Lab, Huawei Munich Research Center, Germany; Technical University of Munich, Germany</t>
  </si>
  <si>
    <t>Dense Reconstruction;  Mobile Robot;  Mutil-Sensor Fusion;  TSDF Map;  Visual SLAM</t>
  </si>
  <si>
    <t>Indoor positioning systems;  Textures;  Trajectories, 'current;  Dense reconstruction;  Function maps;  Long term drift;  Mutil-sensor fusion;  Sensor fusion;  Signed distance function;  Trajectory estimation;  Truncated signed distance function map;  Visual SLAM, Mobile robots</t>
  </si>
  <si>
    <t>A Lightweight Feature Map Creation Method for Intelligent Vehicle Localization in Urban Road Environments</t>
  </si>
  <si>
    <t>Y. Cai and Z. Lu and H. Wang and L. Chen and Y. Li</t>
  </si>
  <si>
    <t>1--15</t>
  </si>
  <si>
    <t>Accurate and reliable localization in urban environments is critical for high-level autonomous driving systems. In comparison to other localization strategies, map-based methods are more reliable and have higher localization accuracy. However, due to higher storage and update costs, dense map-based localization methods are inefficient for widespread use. In urban road environments, structural features, such as road curbs that limit the road passable area, and pole-like features, such as streetlights, tree trunks, and traffic lights, exhibit exceptional long-term stability and extraction consistency. The maps based on road curbs and pole-like features are unaffected by dynamic obstacles, such as vehicles and pedestrians, making them ideal for vehicle localization in urban environments. In this article, we design a lightweight feature map for LiDAR localization in urban environments based on road curbs and pole-like features, and propose a novel, fast, and accurate extraction strategy for these features, implementing the entire pipeline of feature extraction, map construction, and localization. We combine the orderliness of 2-D range images with the spatial properties of 3-D point clouds to extract road curbs and poles quickly and accurately. The proposed feature extraction methods and localization system are evaluated on datasets collected in multiple environments and times. The experimental results demonstrate that the method proposed in this article is more efficient and robust at features' extraction and vehicle localization compared with other state-of-the-art approaches. © 1963-2012 IEEE.</t>
  </si>
  <si>
    <t>10.1109/TIM.2022.3181903</t>
  </si>
  <si>
    <t>https://www.scopus.com/inward/record.uri?eid=2-s2.0-85132721281&amp;doi=10.1109%2fTIM.2022.3181903&amp;partnerID=40&amp;md5=814e9ae73240fff79a3c00da6400a1d4</t>
  </si>
  <si>
    <t>Jiangsu University, Automotive Engineering Research Institute, Zhenjiang, 212013, China; Jiangsu University, School of Automotive and Traffic Engineering, Zhenjiang, 212013, China</t>
  </si>
  <si>
    <t>Feature map;  poles;  road curbs;  structural features;  vehicle localization</t>
  </si>
  <si>
    <t>Autonomous vehicles;  Extraction;  Feature extraction;  Poles;  Roads and streets;  Urban planning, Autonomous Vehicles;  Feature map;  Features extraction;  Location awareness;  Point cloud compression;  Point-clouds;  Road;  Road curb;  Structural feature;  Urban areas;  Vehicle localization, Optical radar</t>
  </si>
  <si>
    <t>Cooperative Navigation and Guidance of a Micro-Scale Aerial Vehicle by an Accompanying UAV using 3D LiDAR Relative Localization</t>
  </si>
  <si>
    <t>V. Pritzl and M. Vrba and P. Stepan and M. Saska</t>
  </si>
  <si>
    <t>2022 International Conference on Unmanned Aircraft Systems, ICUAS 2022</t>
  </si>
  <si>
    <t>526--535</t>
  </si>
  <si>
    <t>A novel approach for cooperative navigation and guidance of a micro-scale aerial vehicle by an accompanying Unmanned Aerial Vehicle (UAV) using 3D Light Detection and Ranging (LiDAR) relative localization is proposed in this paper. The use of 3D LiDARs represents a reliable way of environment perception and robust UAV self-localization in Global Navigation Satellite System (GNSS)-denied environments. However, 3D LiDARs are relatively heavy and they need to be carried by large UAV platforms. On the contrary, visual cameras are cheap, light-weight, and therefore ideal for small UAVs. However, visual self-localization methods suffer from loss of precision in texture-less environments, scale unobservability during certain maneuvers, and long-term drift with respect to the global frame of reference. Nevertheless, a micro-scale camera-equipped UAV is ideal for complementing a 3D LiDAR-equipped UAV as it can reach places inaccessible to a large UAV platform. To gain the advantages of both navigation approaches, we propose a cooperative navigation and guidance architecture utilizing a large LiDAR-equipped UAV accompanied by a small secondary UAV carrying a significantly lighter monocular camera. The primary UAV is localized by a robust LiDAR Simultaneous Localization and Mapping (SLAM) algorithm, while the secondary UAV utilizes a Visual-Inertial Odometry (VIO) approach with lower precision and reliability. The LiDAR data are used for markerless relative localization between the UAVs to enable precise guidance of the secondary UAV in the frame of reference of the LiDAR SLAM. The performance of the proposed approach has been extensively verified in simulations and real-world experiments with the algorithms running onboard the UAVs with no external localization infrastructure. © 2022 IEEE.</t>
  </si>
  <si>
    <t>10.1109/ICUAS54217.2022.9836116</t>
  </si>
  <si>
    <t>https://www.scopus.com/inward/record.uri?eid=2-s2.0-85136137201&amp;doi=10.1109%2fICUAS54217.2022.9836116&amp;partnerID=40&amp;md5=f1d4d981857233d59c20d4f84aaabbc4</t>
  </si>
  <si>
    <t>Czech Technical University in Prague, Multi-robot Systems Group, Department of Cybernetics, Faculty of Electrical Engineering, Czech Republic</t>
  </si>
  <si>
    <t>Air navigation;  Aircraft detection;  Antennas;  Cameras;  Global positioning system;  Optical radar;  Robotics;  Textures, Aerial vehicle;  Cooperative navigations;  Environment perceptions;  Frames of reference;  Global Navigation Satellite Systems;  Light detection and ranging;  Light weight;  Relative localization;  Self localization;  Vehicle platforms, Unmanned aerial vehicles (UAV)</t>
  </si>
  <si>
    <t>Research on Visual-Inertial SLAM Technology with GNSS Assistance</t>
  </si>
  <si>
    <t>L. Zhao and X. Wang and X. Zheng and C. Jia</t>
  </si>
  <si>
    <t>425--434</t>
  </si>
  <si>
    <t>909LNEE</t>
  </si>
  <si>
    <t>In the new era of robustness and perception, the Visual-Inertial Odometry (VIO), which is tightly coupled by the camera and the Inertial Measurement Unit (IMU), can obtain high-precision local pose results in unknown environment. Its low cost and miniaturization have received widespread attention. However, due to the limitation of the measurement principle, in the long-term runs, error will still accumulate. In addition, the outdoor large-scale environment is also a major challenge facing VIO. The Global Navigation Satellite System (GNSS) can provide accurate global estimates for VIO in an open outdoor environment and correct drift caused by long-term operation. Similarly, VIO can still perform in environments where GNSS is denied, which makes it possible for seamless indoor and outdoor navigation. Therefore, this paper proposes a visual-inertial SLAM algorithm assisted by GNSS. Taking the optimized tightly coupled VIO as the main body, and the pose information obtained by GNSS is combined with the VIO solution result to enhance the global positioning while ensuring the accuracy of the local pose accuracy. To this end, a simulation experiment based on the KITTI data set was carried out. The results show that the VIO system with the aid of GNSS can achieve the accuracy of 1.687 m error average, 1.176 m standard deviation, and 2.056 m root mean square error, which is nearly 80% higher than that without assistance. And it can also play a role in the environment where GNSS is denied, and the robustness of the system is also enhanced. © 2022, Aerospace Information Research Institute.</t>
  </si>
  <si>
    <t>10.1007/978-981-19-2580-1_36</t>
  </si>
  <si>
    <t>https://www.scopus.com/inward/record.uri?eid=2-s2.0-85130236459&amp;doi=10.1007%2f978-981-19-2580-1_36&amp;partnerID=40&amp;md5=c045f78f22669f3e8e530d6d3c3ad569</t>
  </si>
  <si>
    <t>Harbin Engineering University, Harbin, China</t>
  </si>
  <si>
    <t>GNSS;  Non-linear optimization;  Sensor fusion;  SLAM;  VIO</t>
  </si>
  <si>
    <t>Errors;  Indoor positioning systems;  Mean square error;  Nonlinear programming;  Robotics, Global Navigation Satellite Systems;  High-precision;  Inertial measurements units;  Non-linear optimization;  Odometry;  Sensor fusion;  SLAM;  Tightly-coupled;  Unknown environments;  Visual-inertial odometry, Global positioning system</t>
  </si>
  <si>
    <t>Thermal-Inertial SLAM for the Environments with Challenging Illumination</t>
  </si>
  <si>
    <t>J. Jiang and X. Chen and W. Dai and Z. Gao and Y. Zhang</t>
  </si>
  <si>
    <t>8767--8774</t>
  </si>
  <si>
    <t>In recent years, longwave infrared (LWIR) cameras have become potential in visual simultaneous localization and mapping (SLAM) research since the delivered thermal images can provide information beyond the visible spectrum and are robust to environment illumination. However, due to modality differences, SLAM methods designed for visible cameras cannot be directly applied to thermal data. In this paper, we propose a thermal-inertial SLAM method for all-day autonomous systems. To overcome the challenge of the thermal data association, the proposed method represents several improvements, including singular-value-decomposition-based (SVD-based) image processing and ThermalRAFT tracking methods. Based on the characteristics of the thermal images, the SVD-based image processing method can exploit the fixed noise pattern of thermal images and enhance the image quality to improve the performance of subsequent steps, including thermal feature extraction and loop detection. To achieve real-time and robust feature tracking, we develop ThermalRAFT, an efficient optical flow network with iterative optimization. Moreover, the system introduces a bag-of-words-based loop detection method to maintain global consistency in long-term operation. The experimental results demonstrate that the proposed method can provide competitive performance in indoor and outdoor environments and is robust under challenging illumination conditions. © 2016 IEEE.</t>
  </si>
  <si>
    <t>10.1109/LRA.2022.3185385</t>
  </si>
  <si>
    <t>https://www.scopus.com/inward/record.uri?eid=2-s2.0-85133660991&amp;doi=10.1109%2fLRA.2022.3185385&amp;partnerID=40&amp;md5=407cd0780390013bf2ae6ca2db856001</t>
  </si>
  <si>
    <t>College of Control Science and Engineering, Zhejiang University, State Key Laboratory of Industrial Control Technology, Hangzhou, 310000, China; Hangzhou Dianzi University, College of Computer Science, Hangzhou, 310018, China</t>
  </si>
  <si>
    <t>localization;  SLAM;  visual-inertial SLAM</t>
  </si>
  <si>
    <t>Extraction;  Feature extraction;  Image enhancement;  Indoor positioning systems;  Infrared imaging;  Iterative methods;  Mapping;  Phase noise;  Processing;  Robotics;  Singular value decomposition, Features extraction;  Images processing;  Localisation;  Simultaneous localization and mapping;  Thermal;  Thermal images;  Thermal sensors;  Visual-inertial simultaneous localization and mapping, Cameras</t>
  </si>
  <si>
    <t>PlaneSDF-Based Change Detection for Long-Term Dense Mapping</t>
  </si>
  <si>
    <t>J. Fu and C. Lin and Y. Taguchi and A. Cohen and Y. Zhang and S. Mylabathula and J. J. Leonard</t>
  </si>
  <si>
    <t>9667--9674</t>
  </si>
  <si>
    <t>The ability to process environment maps across multiple sessions is critical for robots operating over extended periods of time. Specifically, it is desirable for autonomous agents to detect changes amongst maps of different sessions so as to gain a conflict-free understanding of the current environment. In this letter, we look into the problem of change detection based on a novel map representation, dubbed Plane Signed Distance Fields (PlaneSDF), where dense maps are represented as a collection of planes and their associated geometric components in SDF volumes. Given point clouds of the source and target scenes, we propose a three-step PlaneSDF-based change detection approach: (1) PlaneSDF volumes are instantiated within each scene and registered across scenes using plane poses; 2D height maps and object maps are extracted per volume via height projection and connected component analysis. (2) Height maps are compared and intersected with the object map to produce a 2D change location mask for changed object candidates in the source scene. (3) 3D geometric validation is performed using SDF-derived features per object candidate for change mask refinement. We evaluate our approach on both synthetic and real-world datasets and demonstrate its effectiveness via the task of changed object detection. © 2016 IEEE.</t>
  </si>
  <si>
    <t>10.1109/LRA.2022.3191794</t>
  </si>
  <si>
    <t>https://www.scopus.com/inward/record.uri?eid=2-s2.0-85135231201&amp;doi=10.1109%2fLRA.2022.3191794&amp;partnerID=40&amp;md5=e3924de9bb5bea6f21e606323785d0b4</t>
  </si>
  <si>
    <t>Mit Computer Science and Artificial Intelligence Laboratory, Cambridge, MA  02139, United States; Meta, Menlo Park, CA  94025, United States</t>
  </si>
  <si>
    <t>Mapping;  Range sensing;  SLAM</t>
  </si>
  <si>
    <t>HTTP;  Mapping;  Object detection;  Robotics, Change detection;  Features extraction;  Location awareness;  Point cloud compression;  Point-clouds;  Range sensing;  Signed distance fields;  Simultaneous localization and mapping;  SLAM;  Three-dimensional display, Three dimensional displays</t>
  </si>
  <si>
    <t>An efficient loop closure detection method based on spatially constrained feature matching</t>
  </si>
  <si>
    <t>H. Zhang and T. Zhao and Y. Zhong and Y. Yin and H. Yuan and S. Dian</t>
  </si>
  <si>
    <t>363--379</t>
  </si>
  <si>
    <t>Loop detection technology is an important part of the simultaneous localization and mapping system for eliminating the pose drift of robots during long-term movement. In order to solve the three main challenges of appearance-based methods, namely viewpoint changes, repeated textures, and large amounts of calculation, this paper proposes an unsupervised loop detection method that takes into account both the texture pattern and position information of feature points and avoids any pre-training steps. Since the relative rotation and translation of the robot between two frames forming loop closure are both very small, the proposed method constrains the matching range with an overlapped block strategy to not only improve the matching precision, but also reduce the cost of matching. Furthermore, the method introduces Gaussian functions to weight and fuse the matching score of each block. The proposed method is evaluated in detail on two different public datasets with various scenarios, and the results show that the proposed method performs better and more efficiently than existing state-of-the-art methods. © 2022, The Author(s), under exclusive licence to Springer-Verlag GmbH Germany, part of Springer Nature.</t>
  </si>
  <si>
    <t>10.1007/s11370-022-00423-9</t>
  </si>
  <si>
    <t>https://www.scopus.com/inward/record.uri?eid=2-s2.0-85131553920&amp;doi=10.1007%2fs11370-022-00423-9&amp;partnerID=40&amp;md5=088a6f74faf83aa383973ec876580df4</t>
  </si>
  <si>
    <t>Perception, Machine Control and Intelligent Robot Innovation Lab. (PMCIRI.), College of Electrical Engineering, Sichuan University, Chengdu, 610065, China</t>
  </si>
  <si>
    <t>Appearance-based loop closure detection;  Feature matching;  Robotics;  SLAM</t>
  </si>
  <si>
    <t>Feature extraction;  Textures, Appearance based;  Appearance-based loop closure detection;  Detection methods;  Detection technology;  Features matching;  Loop closure;  Loop detection;  Matchings;  Simultaneous localization and mapping;  SLAM, Robotics</t>
  </si>
  <si>
    <t>LTSR: Long-term Semantic Relocalization based on HD Map for Autonomous Vehicles</t>
  </si>
  <si>
    <t>H. Wang and C. Xue and Y. Tang and W. Li and F. Wen and H. Zhang</t>
  </si>
  <si>
    <t>2171--2178</t>
  </si>
  <si>
    <t>Highly accurate and robust relocalization or localization initialization ability is of great importance for autonomous vehicles (AVs). Traditional GNSS-based methods are not reliable enough in occlusion and multipath conditions. In this paper we propose a novel long-term semantic relocalization algorithm based on HD map and semantic features which are compact in representation. Semantic features appear widely on urban roads, and are robust to illumination, weather, view-point and appearance changes. Repeated structures, missed and false detections make data association (DA) highly ambiguous. To this end, a robust semantic feature matching method based on a new local semantic descriptor which encodes the spatial and normal relationship between semantic features is performed. Further, we introduce an accurate, efficient, yet simple outlier removal method which works by assessing the local and global geometric consistencies and temporal consistency of semantic matching pairs. The experimental results on our urban dataset demonstrate that our approach performs better in accuracy and robustness compared with the current state-of-the-art methods. © 2022 IEEE.</t>
  </si>
  <si>
    <t>10.1109/ICRA46639.2022.9811855</t>
  </si>
  <si>
    <t>https://www.scopus.com/inward/record.uri?eid=2-s2.0-85136335588&amp;doi=10.1109%2fICRA46639.2022.9811855&amp;partnerID=40&amp;md5=dc06cdfdb7ca5e67fb64400daf10ba65</t>
  </si>
  <si>
    <t>Huawei Technologies, Noah's Ark Lab, Beijing, China</t>
  </si>
  <si>
    <t>Semantics, Autonomous Vehicles;  False detections;  Highly accurate;  Localisation;  Missed detections;  Multipath conditions;  Re-localization;  Semantic features;  Structure detection;  Urban road, Autonomous vehicles</t>
  </si>
  <si>
    <t>AirLoop: Lifelong Loop Closure Detection</t>
  </si>
  <si>
    <t>D. Gao and C. Wang and S. Scherer</t>
  </si>
  <si>
    <t>10664--10671</t>
  </si>
  <si>
    <t>Loop closure detection is an important building block that ensures the accuracy and robustness of simultaneous localization and mapping (SLAM) systems. Due to their generalization ability, CNN-based approaches have received increasing attention. Although they normally benefit from training on datasets that are diverse and reflective of the environments, new environments often emerge after the model is deployed. It is therefore desirable to incorporate the data newly collected during operation for incremental learning. Nevertheless, simply finetuning the model on new data is infeasible since it may cause the model's performance on previously learned data to degrade over time, which is also known as the problem of catastrophic forgetting. In this paper, we present AirLoop, a method that leverages techniques from lifelong learning to minimize forgetting when training loop closure detection models incrementally. We experimentally demonstrate the effectiveness of AirLoop on TartanAir, Nordland, and RobotCar datasets. To the best of our knowledge, AirLoop is one of the first works to achieve lifelong learning of deep loop closure detectors. © 2022 IEEE.</t>
  </si>
  <si>
    <t>10.1109/ICRA46639.2022.9811658</t>
  </si>
  <si>
    <t>https://www.scopus.com/inward/record.uri?eid=2-s2.0-85127009408&amp;doi=10.1109%2fICRA46639.2022.9811658&amp;partnerID=40&amp;md5=7fdb56d1431b3588b450c8de5cdc74ef</t>
  </si>
  <si>
    <t>Robotics Institute, School of Computer Science, Carnegie Mellon University, Pittsburgh, PA  15213, United States</t>
  </si>
  <si>
    <t>Deep learning, Building blockes;  Catastrophic forgetting;  Generalization ability;  Incremental learning;  Life long learning;  Localisation Systems;  Loop closure;  Mapping systems;  Modeling performance;  Simultaneous localization and mapping, Robotics</t>
  </si>
  <si>
    <t>Learning Semantic-Aware Local Features for Long Term Visual Localization</t>
  </si>
  <si>
    <t>B. Fan and J. Zhou and W. Feng and H. Pu and Y. Yang and Q. Kong and F. Wu and H. Liu</t>
  </si>
  <si>
    <t>IEEE Transactions on Image Processing</t>
  </si>
  <si>
    <t>4842--4855</t>
  </si>
  <si>
    <t>Extracting robust and discriminative local features from images plays a vital role for long term visual localization, whose challenges are mainly caused by the severe appearance differences between matching images due to the day-night illuminations, seasonal changes, and human activities. Existing solutions resort to jointly learning both keypoints and their descriptors in an end-to-end manner, leveraged on large number of annotations of point correspondence which are harvested from the structure from motion and depth estimation algorithms. While these methods show improved performance over non-deep methods or those two-stage deep methods, i.e., detection and then description, they are still struggled to conquer the problems encountered in long term visual localization. Since the intrinsic semantics are invariant to the local appearance changes, this paper proposes to learn semantic-aware local features in order to improve robustness of local feature matching for long term localization. Based on a state of the art CNN architecture for local feature learning, i.e., ASLFeat, this paper leverages on the semantic information from an off-the-shelf semantic segmentation network to learn semantic-aware feature maps. The learned correspondence-aware feature descriptors and semantic features are then merged to form the final feature descriptors, for which the improved feature matching ability has been observed in experiments. In addition, the learned semantics embedded in the features can be further used to filter out noisy keypoints, leading to additional accuracy improvement and faster matching speed. Experiments on two popular long term visual localization benchmarks (Aachen Day and Night v1.1, Robotcar Seasons) and one challenging indoor benchmark (InLoc) demonstrate encouraging improvements of the localization accuracy over its counterpart and other competitive methods. © 1992-2012 IEEE.</t>
  </si>
  <si>
    <t>10.1109/TIP.2022.3187565</t>
  </si>
  <si>
    <t>https://www.scopus.com/inward/record.uri?eid=2-s2.0-85134255565&amp;doi=10.1109%2fTIP.2022.3187565&amp;partnerID=40&amp;md5=41dcdc8069e3df780df984567f5ab4b1</t>
  </si>
  <si>
    <t>University of Science and Technology Beijing, School of Automation and Electrical Engineering, Beijing, 100083, China; Central Media Technology Institute Huawei, 2012 Laboratory, Shenzhen, 518129, China; Shanghai University, School of Mechatronics Engineering and Automation, Shanghai, 200444, China; Institute of Automation, Chinese Academy of Sciences, Beijing, 100190, China</t>
  </si>
  <si>
    <t>Image matching;  Knowledge distillation;  Local feature;  Visual localization</t>
  </si>
  <si>
    <t>Computer vision;  Distillation;  Semantic Segmentation;  Three dimensional computer graphics;  Three dimensional displays, Benchmark testing;  Features extraction;  Images segmentations;  Keypoints;  Knowledge distillation;  Local feature;  Location awareness;  Semantic-aware;  Three-dimensional display;  Visual localization, Semantics, algorithm;  human;  motion;  semantics, Algorithms;  Humans;  Motion;  Semantics</t>
  </si>
  <si>
    <t>10577149</t>
  </si>
  <si>
    <t>Accurate RGB-D SLAM in dynamic environments based on dynamic visual feature removal</t>
  </si>
  <si>
    <t>C. Liu and J. Qin and S. Wang and L. Yu and Y. Wang</t>
  </si>
  <si>
    <t>Science China Information Sciences</t>
  </si>
  <si>
    <t>202206</t>
  </si>
  <si>
    <t>65</t>
  </si>
  <si>
    <t>Visual localization is considered an essential capability in robotics and has attracted increasing interest for the past few years. However, most proposed visual localization systems assume that the surrounding environment is static, which is difficult to maintain in real-world scenarios due to the presence of moving objects. In this paper, we present DFR-SLAM, a real-time and accurate RGB-D SLAM based on ORB-SLAM2 that achieves satisfactory performance in a variety of challenging dynamic scenarios. At the core of our system lies a motion consensus filtering algorithm estimating the initial camera pose and a graph-cut optimization framework combining long-term observations, prior information, and spatial coherence to jointly distinguish dynamic and static visual features. Other systems for dynamic environments detect dynamic components by using the information from short time-span frames, whereas our system uses observations from a long period of keyframes. We evaluate our system using dynamic sequences from the public TUM dataset, and the evaluation demonstrates that the proposed system outperforms the original ORB-SLAM2 system significantly. In addition, our system provides competitive localization accuracy with satisfactory real-time performance compared to closely related SLAM systems designed to adapt to dynamic environments. © 2022, Science China Press and Springer-Verlag GmbH Germany, part of Springer Nature.</t>
  </si>
  <si>
    <t>10.1007/s11432-021-3425-8</t>
  </si>
  <si>
    <t>https://www.scopus.com/inward/record.uri?eid=2-s2.0-85139233257&amp;doi=10.1007%2fs11432-021-3425-8&amp;partnerID=40&amp;md5=ba25c65547dc64f1eb3a743bab0e839f</t>
  </si>
  <si>
    <t>Department of Automation, University of Science and Technology of China, Hefei, 230027, China; Institute of Artificial Intelligence, Hefei Comprehensive National Science Center, Hefei, 230088, China; College of Electrical and Information Engineering, Hunan University, Changsha, 410082, China; National Engineering Research Center of Robot Visual Perception and Control Technology, Hunan University, Changsha, 410082, China</t>
  </si>
  <si>
    <t>dynamic environments;  graph-cut;  indoor localization;  robot navigation;  SLAM</t>
  </si>
  <si>
    <t>Graphic methods;  Indoor positioning systems;  Real time systems;  Robots, Dynamic environments;  Dynamic visual features;  Graph-cut;  Indoor localization;  Localisation Systems;  ON dynamics;  Robot navigation;  SLAM;  Surrounding environment;  Visual localization, Information filtering</t>
  </si>
  <si>
    <t>Science Press (China)</t>
  </si>
  <si>
    <t>1674733X</t>
  </si>
  <si>
    <t>PlaneLoc2: Indoor Global Localization Using Planar Segments and Passive Stereo Camera</t>
  </si>
  <si>
    <t>J. Wietrzykowski</t>
  </si>
  <si>
    <t>67219--67229</t>
  </si>
  <si>
    <t>This paper introduces PlaneLoc2 - a novel indoor global localization system designed to harness the potential of stereo cameras. A need for robust global localization that does not produce incorrect results (false positives) is present in almost every life-long autonomy task. We show that planar segments extracted from stereo vision data by a neural network enable such robust localization. Planar segments are easier to discriminate than keypoint features and provide easy-to-use geometric constraints. We propose an architecture that exploits a single deep neural network (DNN) to detect planar segments, produce appearance descriptors, and estimate segment geometry. Moreover, we introduce a novel view-based segment map and a novel pose retrieval procedure that considers the uncertainty of features to efficiently use the geometric constraints provided by them. We also show that the new learned descriptor provides better discrimination than the hand-crafted one. Finally, we present experimental results that show that our solution outperforms other state-of-the-art global localization methods and does not produce incorrect agent poses. For both test scenes it recognizes at least 15% more poses than the second best method without incorrect recognitions.</t>
  </si>
  <si>
    <t>10.1109/ACCESS.2022.3185732</t>
  </si>
  <si>
    <t>http://dx.doi.org/10.1109/ACCESS.2022.3185732</t>
  </si>
  <si>
    <t>cameras;feature extraction;image segmentation;learning (artificial intelligence);mobile robots;neural nets;pose estimation;robot vision;stereo image processing;</t>
  </si>
  <si>
    <t>GPGM-SLAM: a Robust SLAM System for Unstructured Planetary Environments with Gaussian Process Gradient Maps</t>
  </si>
  <si>
    <t>R. Giubilato and C. L. Gentil and M. Vayugundla and M. Schuster and T. Vidal-Calleja and R. Triebel</t>
  </si>
  <si>
    <t>Field Robotics</t>
  </si>
  <si>
    <t>1721--1753</t>
  </si>
  <si>
    <t>Simultaneous Localization and Mapping (SLAM) techniques play a key role towards long-term autonomy of mobile robots due to the ability to correct localization errors and produce consistent maps of an environment over time. Contrarily to urban or man-made environments, where the presence of unique objects and structures offer unique cues for localization, the apperance of unstructured natural environments is often ambiguous and self-similar, hindering the performances of loop closure detection. In this paper, we present an approach to improve the robustness of place recognition in the context of a submap-based stereo SLAM based on Gaussian Process Gradient Maps (GPGMaps). GPGMaps embed a continuous representation of the gradients of the local terrain elevation by means of Gaussian Process regression and Structured Kernel Interpolation, given solely noisy elevation measurements. We leverage the imagelike structure of GPGMaps to detect loop closures using traditional visual features and Bag of Words. GPGMap matching is performed as an SE(2) alignment to establish loop closure constraints within a pose graph. We evaluate the proposed pipeline on a variety of datasets recorded on Mt. Etna, Sicily and in the Morocco desert, respectively Moon- and Mars-like environments, and we compare the localization performances with state-of-the-art approaches for visual SLAM and visual loop closure detection.</t>
  </si>
  <si>
    <t>10.55417/fr.2022053</t>
  </si>
  <si>
    <t>https://app.dimensions.ai/details/publication/pub.1150148645</t>
  </si>
  <si>
    <t>Augmenting Visual SLAM with Wi-Fi Sensing for Indoor Applications</t>
  </si>
  <si>
    <t>Auton. Robots</t>
  </si>
  <si>
    <t>Recent trends have accelerated the development of spatial applications on mobile devices and robots. These include navigation, augmented reality, human–robot interaction, and others. A key enabling technology for such applications is the understanding of the device’s location and the map of the surrounding environment. This generic problem, referred to as Simultaneous Localization and Mapping (SLAM), is an extensively researched topic in robotics. However, visual SLAM algorithms face several challenges including perceptual aliasing and high computational cost. These challenges affect the accuracy, efficiency, and viability of visual SLAM algorithms, especially for long-term SLAM, and their use in resource-constrained mobile devices. A parallel trend is the ubiquity of Wi-Fi routers for quick Internet access in most urban environments. Most robots and mobile devices are equipped with a Wi-Fi radio as well. We propose a method to utilize Wi-Fi received signal strength to alleviate the challenges faced by visual SLAM algorithms. To demonstrate the utility of this idea, this work makes the following contributions: (i) We propose a generic way to integrate Wi-Fi sensing into visual SLAM algorithms, (ii) We integrate such sensing into three well-known SLAM algorithms, (iii) Using four distinct datasets, we demonstrate the performance of such augmentation in comparison to the original visual algorithms and (iv) We compare our work to Wi-Fi augmented FABMAP algorithm. Overall, we show that our approach can improve the accuracy of visual SLAM algorithms by 11% on average and reduce computation time on average by 15% to 25%.</t>
  </si>
  <si>
    <t>https://doi.org/10.1007/s10514-019-09874-z</t>
  </si>
  <si>
    <t>Wi-Fi sensing, Perceptual aliasing, Visual SLAM</t>
  </si>
  <si>
    <t>Localization on 3D data is a challenging task for unmanned vehicles, especially in long-term dynamic urban scenarios. Due to the generality and long-term stability, the pole-like objects are very suitable as landmarks for unmanned vehicle localization in time-varying scenarios. In this paper, a long-term LiDAR-only localization algorithm based on semantic cluster map is proposed. At first, the Convolutional Neural Network(CNN) is used to infer the semantics of LiDAR point clouds. Combined with the point cloud segmentation, the static objects pole/trunk are extracted and registered into global semantic cluster map. When the unmanned vehicle re-enters the environment again, the relocalization is completed by matching the clusters of current scan with the clusters of the global map. Furthermore, the matching between the local and global maps stably outputs the global pose at 2Hz to correct the drift of the 3D LiDAR odometry. The experimental results on our campus dataset demonstrate that the proposed approach performs better in localization accuracy compared with the current state-of-the-art methods. The source of this paper is available at: http://www.github.com/HITSZ-NRSL/long-term-localization.</t>
  </si>
  <si>
    <t>https://doi.org/10.1109/ROBIO54168.2021.9739599</t>
  </si>
  <si>
    <t>Robust pose estimation and map reconstruction are the basic requirements of the robotics autonomous. In this paper, a static ground feature enhanced SLAM system is proposed for dynamic environments with RGB-D sensors. Compared with the typical point-based SLAM, our designed system extra introduce the ground and other plane constraints to solve the dynamic SLAM. In the front-end, the ground as a special plane feature is detected and tracked, which can provide realiable constraint for the pose estimation in dynamic environments. In the back-end, a point-ground based factor graph is constructed and optimized for more accurate map. Moreover, plane structure is exploited to repair the keyframe dynamic regions, new synthesized keyframes are used to reconstruct the static map for long-term applications. Real world dataset tests demonstrate the effectiveness of our proposed system.</t>
  </si>
  <si>
    <t>https://doi.org/10.1109/ROBIO54168.2021.9739362</t>
  </si>
  <si>
    <t>Learning Spatiotemporal Occupancy Grid Maps for Lifelong Navigation in Dynamic Scenes</t>
  </si>
  <si>
    <t>H. Thomas and M. G. D. S. Aurin and J. Zhang and T. D. Barfoot</t>
  </si>
  <si>
    <t>484--490</t>
  </si>
  <si>
    <t>We present a novel method for generating, predicting, and using Spatiotemporal Occupancy Grid Maps (SOGM), which embed future information of dynamic scenes. Our au-tomated generation process creates groundtruth SOGMs from previous navigation data. We build on prior work to annotate lidar points based on their dynamic properties, which are then projected on time-stamped 2D grids: SOGMs. We design a 3D-2D feedforward architecture, trained to predict the future time steps of SOGMs, given 3D lidar frames as input. Our pipeline is entirely self-supervised, thus enabling lifelong learning for robots. The network is composed of a 3D back-end that extracts rich features and enables the semantic segmentation of the lidar frames, and a 2D front-end that predicts the future information embedded in the SOGMs within planning. We also design a navigation pipeline that uses these predicted SOGMs. We provide both quantitative and qualitative insights into the predictions and validate our choices of network design with a comparison to the state of the art and ablation studies.</t>
  </si>
  <si>
    <t>10.1109/ICRA46639.2022.9812297</t>
  </si>
  <si>
    <t>https://doi.org/10.1109/ICRA46639.2022.9812297</t>
  </si>
  <si>
    <t>https://doi.org/10.1109/TIP.2022.3187565</t>
  </si>
  <si>
    <t>https://doi.org/10.1109/ICRA46639.2022.9811658</t>
  </si>
  <si>
    <t>https://doi.org/10.1007/s11370-022-00423-9</t>
  </si>
  <si>
    <t>https://doi.org/10.1109/ICRA46639.2022.9811855</t>
  </si>
  <si>
    <t>https://doi.org/10.1109/ICRA46639.2022.9811916</t>
  </si>
  <si>
    <t>https://doi.org/10.1109/CVPR52688.2022.01683</t>
  </si>
  <si>
    <t>https://doi.org/10.1109/TITS.2021.3102429</t>
  </si>
  <si>
    <t>https://doi.org/10.1007/s11370-021-00395-2</t>
  </si>
  <si>
    <t>https://doi.org/10.1016/j.isprsjprs.2022.05.005</t>
  </si>
  <si>
    <t>https://doi.org/10.1002/rob.22088</t>
  </si>
  <si>
    <t>https://doi.org/10.1109/TITS.2021.3094485</t>
  </si>
  <si>
    <t>https://doi.org/10.1109/TIM.2022.3190031</t>
  </si>
  <si>
    <t>https://doi.org/10.23919/FUSION49751.2022.9841255</t>
  </si>
  <si>
    <t>https://doi.org/10.1109/LRA.2022.3207800</t>
  </si>
  <si>
    <t>https://doi.org/10.1016/j.robot.2022.104136</t>
  </si>
  <si>
    <t>https://doi.org/10.1109/TIM.2022.3209726</t>
  </si>
  <si>
    <t>https://doi.org/10.5194/isprs-annals-V-1-2022-211-2022</t>
  </si>
  <si>
    <t>https://doi.org/10.1109/TIM.2022.3181903</t>
  </si>
  <si>
    <t>https://doi.org/10.1109/ICUAS54217.2022.9836116</t>
  </si>
  <si>
    <t>https://doi.org/10.1007/978-981-19-2580-1_36</t>
  </si>
  <si>
    <t>https://doi.org/10.1109/LRA.2022.3185385</t>
  </si>
  <si>
    <t>https://doi.org/10.1109/LRA.2022.3191794</t>
  </si>
  <si>
    <t>https://doi.org/10.1007/s11432-021-3425-8</t>
  </si>
  <si>
    <t>https://doi.org/10.1109/ACCESS.2022.3185732</t>
  </si>
  <si>
    <t>https://doi.org/10.55417/fr.2022053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</si>
</sst>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0" x14ac:knownFonts="1">
    <font>
      <sz val="10"/>
      <name val="Arial"/>
      <charset val="1"/>
    </font>
    <font>
      <b/>
      <sz val="10"/>
      <name val="Arial"/>
      <charset val="1"/>
    </font>
    <font>
      <sz val="10"/>
      <name val="Arial"/>
      <charset val="1"/>
    </font>
    <font>
      <sz val="10"/>
      <name val="Arial"/>
      <family val="2"/>
    </font>
    <font>
      <b/>
      <sz val="10"/>
      <name val="Arial"/>
      <family val="2"/>
    </font>
    <font>
      <sz val="8"/>
      <name val="Arial"/>
      <family val="2"/>
    </font>
    <font>
      <b/>
      <sz val="10"/>
      <name val="Arial"/>
      <family val="2"/>
      <charset val="1"/>
    </font>
    <font>
      <u/>
      <sz val="10"/>
      <color theme="10"/>
      <name val="Arial"/>
      <charset val="1"/>
    </font>
    <font>
      <sz val="9"/>
      <color indexed="81"/>
      <name val="Tahoma"/>
      <charset val="1"/>
    </font>
    <font>
      <b/>
      <sz val="9"/>
      <color indexed="81"/>
      <name val="Tahoma"/>
      <charset val="1"/>
    </font>
  </fonts>
  <fills count="2">
    <fill>
      <patternFill patternType="none"/>
    </fill>
    <fill>
      <patternFill patternType="gray125"/>
    </fill>
  </fills>
  <borders count="1">
    <border>
      <left/>
      <right/>
      <top/>
      <bottom/>
      <diagonal/>
    </border>
  </borders>
  <cellStyleXfs count="2">
    <xf numFmtId="0" fontId="0" fillId="0" borderId="0" applyNumberFormat="0" applyFill="0" applyBorder="0" applyAlignment="0" applyProtection="0"/>
    <xf numFmtId="0" fontId="7" fillId="0" borderId="0" applyNumberFormat="0" applyFill="0" applyBorder="0" applyAlignment="0" applyProtection="0"/>
  </cellStyleXfs>
  <cellXfs count="15">
    <xf numFmtId="0" fontId="0" fillId="0" borderId="0" xfId="0"/>
    <xf numFmtId="0" fontId="1" fillId="0" borderId="0" xfId="0" applyFont="1" applyFill="1" applyBorder="1" applyAlignment="1" applyProtection="1"/>
    <xf numFmtId="0" fontId="2" fillId="0" borderId="0" xfId="0" applyFont="1" applyFill="1" applyBorder="1" applyAlignment="1" applyProtection="1"/>
    <xf numFmtId="0" fontId="4" fillId="0" borderId="0" xfId="0" applyFont="1"/>
    <xf numFmtId="0" fontId="3" fillId="0" borderId="0" xfId="0" applyFont="1"/>
    <xf numFmtId="0" fontId="0" fillId="0" borderId="0" xfId="0" applyNumberFormat="1"/>
    <xf numFmtId="0" fontId="4" fillId="0" borderId="0" xfId="0" applyFont="1" applyAlignment="1">
      <alignment horizontal="right"/>
    </xf>
    <xf numFmtId="0" fontId="4" fillId="0" borderId="0" xfId="0" applyFont="1" applyAlignment="1">
      <alignment horizontal="left" indent="1"/>
    </xf>
    <xf numFmtId="0" fontId="4" fillId="0" borderId="0" xfId="0" applyFont="1" applyAlignment="1">
      <alignment horizontal="left" indent="2"/>
    </xf>
    <xf numFmtId="10" fontId="0" fillId="0" borderId="0" xfId="0" applyNumberFormat="1"/>
    <xf numFmtId="0" fontId="4" fillId="0" borderId="0" xfId="0" applyFont="1" applyAlignment="1">
      <alignment wrapText="1"/>
    </xf>
    <xf numFmtId="0" fontId="6" fillId="0" borderId="0" xfId="0" applyFont="1"/>
    <xf numFmtId="1" fontId="0" fillId="0" borderId="0" xfId="0" applyNumberFormat="1"/>
    <xf numFmtId="164" fontId="0" fillId="0" borderId="0" xfId="0" applyNumberFormat="1"/>
    <xf numFmtId="0" fontId="7" fillId="0" borderId="0" xfId="1" applyNumberFormat="1"/>
  </cellXfs>
  <cellStyles count="2">
    <cellStyle name="Hyperlink" xfId="1" builtinId="8"/>
    <cellStyle name="Normal" xfId="0" builtinId="0"/>
  </cellStyles>
  <dxfs count="51">
    <dxf>
      <font>
        <color rgb="FF9C0006"/>
      </font>
      <fill>
        <patternFill>
          <bgColor rgb="FFFFC7CE"/>
        </patternFill>
      </fill>
    </dxf>
    <dxf>
      <font>
        <color rgb="FF9C0006"/>
      </font>
      <fill>
        <patternFill>
          <bgColor rgb="FFFFC7CE"/>
        </patternFill>
      </fill>
    </dxf>
    <dxf>
      <font>
        <color rgb="FF006100"/>
      </font>
      <fill>
        <patternFill>
          <bgColor rgb="FFE2EFDA"/>
        </patternFill>
      </fill>
    </dxf>
    <dxf>
      <font>
        <color rgb="FF9C0006"/>
      </font>
    </dxf>
    <dxf>
      <font>
        <color rgb="FF9C5700"/>
      </font>
    </dxf>
    <dxf>
      <font>
        <color rgb="FF006100"/>
      </font>
    </dxf>
    <dxf>
      <font>
        <color rgb="FF006100"/>
      </font>
      <fill>
        <patternFill>
          <bgColor rgb="FFE2EFDA"/>
        </patternFill>
      </fill>
    </dxf>
    <dxf>
      <numFmt numFmtId="14" formatCode="0.00%"/>
    </dxf>
    <dxf>
      <numFmt numFmtId="1" formatCode="0"/>
    </dxf>
    <dxf>
      <numFmt numFmtId="164" formatCode="0.000000"/>
    </dxf>
    <dxf>
      <numFmt numFmtId="164" formatCode="0.000000"/>
    </dxf>
    <dxf>
      <numFmt numFmtId="14" formatCode="0.00%"/>
    </dxf>
    <dxf>
      <numFmt numFmtId="1" formatCode="0"/>
    </dxf>
    <dxf>
      <numFmt numFmtId="14" formatCode="0.00%"/>
    </dxf>
    <dxf>
      <numFmt numFmtId="14" formatCode="0.00%"/>
    </dxf>
    <dxf>
      <numFmt numFmtId="0" formatCode="General"/>
    </dxf>
    <dxf>
      <numFmt numFmtId="0" formatCode="General"/>
    </dxf>
    <dxf>
      <font>
        <b/>
        <family val="2"/>
      </font>
    </dxf>
    <dxf>
      <numFmt numFmtId="14" formatCode="0.00%"/>
    </dxf>
    <dxf>
      <numFmt numFmtId="0" formatCode="General"/>
    </dxf>
    <dxf>
      <font>
        <b/>
        <i val="0"/>
        <strike val="0"/>
        <condense val="0"/>
        <extend val="0"/>
        <outline val="0"/>
        <shadow val="0"/>
        <u val="none"/>
        <vertAlign val="baseline"/>
        <sz val="10"/>
        <color auto="1"/>
        <name val="Arial"/>
        <family val="2"/>
        <scheme val="none"/>
      </font>
    </dxf>
    <dxf>
      <numFmt numFmtId="0" formatCode="General"/>
    </dxf>
    <dxf>
      <font>
        <b/>
        <family val="2"/>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auto="1"/>
        <name val="Arial"/>
        <family val="2"/>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0"/>
        <color auto="1"/>
        <name val="Arial"/>
        <charset val="1"/>
        <scheme val="none"/>
      </font>
      <fill>
        <patternFill patternType="none">
          <fgColor indexed="64"/>
          <bgColor indexed="65"/>
        </patternFill>
      </fill>
      <alignment horizontal="general" vertical="bottom" textRotation="0" wrapText="0" indent="0" justifyLastLine="0" shrinkToFit="0" readingOrder="0"/>
      <protection locked="1" hidden="0"/>
    </dxf>
  </dxfs>
  <tableStyles count="0" defaultTableStyle="TableStyleMedium2" defaultPivotStyle="PivotStyleLight16"/>
  <colors>
    <mruColors>
      <color rgb="FF6C8EBF"/>
      <color rgb="FF9C0006"/>
      <color rgb="FF9C5700"/>
      <color rgb="FF006100"/>
      <color rgb="FFFFC7CE"/>
      <color rgb="FFE2EFDA"/>
      <color rgb="FFC6EFCE"/>
      <color rgb="FFFFC8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Quality Evaluation Assessment</cx:v>
        </cx:txData>
      </cx:tx>
      <cx:txPr>
        <a:bodyPr vertOverflow="overflow" horzOverflow="overflow" wrap="square" lIns="0" tIns="0" rIns="0" bIns="0"/>
        <a:lstStyle/>
        <a:p>
          <a:pPr algn="ctr" rtl="0">
            <a:defRPr sz="14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GB">
              <a:solidFill>
                <a:sysClr val="windowText" lastClr="000000"/>
              </a:solidFill>
            </a:rPr>
            <a:t>Quality Evaluation Assessment</a:t>
          </a:r>
        </a:p>
      </cx:txPr>
    </cx:title>
    <cx:plotArea>
      <cx:plotAreaRegion>
        <cx:series layoutId="clusteredColumn" uniqueId="{6FDEB38D-2CCC-4F52-B589-D3D6A1F7D076}" formatIdx="0">
          <cx:spPr>
            <a:solidFill>
              <a:srgbClr val="6C8EBF"/>
            </a:solidFill>
            <a:ln>
              <a:noFill/>
            </a:ln>
          </cx:spPr>
          <cx:dataLabels>
            <cx:txPr>
              <a:bodyPr vertOverflow="overflow" horzOverflow="overflow" wrap="square" lIns="0" tIns="0" rIns="0" bIns="0"/>
              <a:lstStyle/>
              <a:p>
                <a:pPr algn="ctr" rtl="0">
                  <a:defRPr sz="900" b="0" i="0">
                    <a:solidFill>
                      <a:schemeClr val="bg2">
                        <a:lumMod val="50000"/>
                      </a:schemeClr>
                    </a:solidFill>
                    <a:latin typeface="Calibri" panose="020F0502020204030204" pitchFamily="34" charset="0"/>
                    <a:ea typeface="Calibri" panose="020F0502020204030204" pitchFamily="34" charset="0"/>
                    <a:cs typeface="Calibri" panose="020F0502020204030204" pitchFamily="34" charset="0"/>
                  </a:defRPr>
                </a:pPr>
                <a:endParaRPr lang="en-GB">
                  <a:solidFill>
                    <a:schemeClr val="bg2">
                      <a:lumMod val="50000"/>
                    </a:schemeClr>
                  </a:solidFill>
                </a:endParaRPr>
              </a:p>
            </cx:txPr>
            <cx:visibility seriesName="0" categoryName="0" value="1"/>
          </cx:dataLabels>
          <cx:dataId val="0"/>
          <cx:layoutPr>
            <cx:aggregation/>
          </cx:layoutPr>
        </cx:series>
      </cx:plotAreaRegion>
      <cx:axis id="0">
        <cx:catScaling gapWidth="0.200000003"/>
        <cx:title>
          <cx:tx>
            <cx:txData>
              <cx:v>QE score (0..10.0) →</cx:v>
            </cx:txData>
          </cx:tx>
          <cx:txPr>
            <a:bodyPr spcFirstLastPara="1" vertOverflow="ellipsis" horzOverflow="overflow" wrap="square" lIns="0" tIns="0" rIns="0" bIns="0" anchor="ctr" anchorCtr="1"/>
            <a:lstStyle/>
            <a:p>
              <a:pPr algn="ctr" rtl="0">
                <a:defRPr>
                  <a:solidFill>
                    <a:sysClr val="windowText" lastClr="000000"/>
                  </a:solidFill>
                </a:defRPr>
              </a:pPr>
              <a:r>
                <a:rPr lang="en-US" sz="900" b="0" i="0" u="none" strike="noStrike" baseline="0">
                  <a:solidFill>
                    <a:sysClr val="windowText" lastClr="000000"/>
                  </a:solidFill>
                  <a:latin typeface="Calibri" panose="020F0502020204030204"/>
                </a:rPr>
                <a:t>QE score (0..10.0) →</a:t>
              </a:r>
            </a:p>
          </cx:txPr>
        </cx:title>
        <cx:majorTickMarks type="out"/>
        <cx:minorTickMarks type="out"/>
        <cx:tickLabels/>
        <cx:txPr>
          <a:bodyPr vertOverflow="overflow" horzOverflow="overflow" wrap="square" lIns="0" tIns="0" rIns="0" bIns="0"/>
          <a:lstStyle/>
          <a:p>
            <a:pPr algn="ctr" rtl="0">
              <a:defRPr sz="9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a:solidFill>
                <a:sysClr val="windowText" lastClr="000000"/>
              </a:solidFill>
            </a:endParaRPr>
          </a:p>
        </cx:txPr>
      </cx:axis>
      <cx:axis id="1">
        <cx:valScaling/>
        <cx:title>
          <cx:tx>
            <cx:txData>
              <cx:v>#records →</cx:v>
            </cx:txData>
          </cx:tx>
          <cx:txPr>
            <a:bodyPr spcFirstLastPara="1" vertOverflow="ellipsis" horzOverflow="overflow" wrap="square" lIns="0" tIns="0" rIns="0" bIns="0" anchor="ctr" anchorCtr="1"/>
            <a:lstStyle/>
            <a:p>
              <a:pPr algn="ctr" rtl="0">
                <a:defRPr>
                  <a:solidFill>
                    <a:sysClr val="windowText" lastClr="000000"/>
                  </a:solidFill>
                </a:defRPr>
              </a:pPr>
              <a:r>
                <a:rPr lang="en-US" sz="900" b="0" i="0" u="none" strike="noStrike" baseline="0">
                  <a:solidFill>
                    <a:sysClr val="windowText" lastClr="000000"/>
                  </a:solidFill>
                  <a:latin typeface="Calibri" panose="020F0502020204030204"/>
                </a:rPr>
                <a:t>#records →</a:t>
              </a:r>
            </a:p>
          </cx:txPr>
        </cx:title>
        <cx:majorGridlines/>
        <cx:majorTickMarks type="out"/>
        <cx:minorTickMarks type="out"/>
        <cx:tickLabels/>
        <cx:txPr>
          <a:bodyPr vertOverflow="overflow" horzOverflow="overflow" wrap="square" lIns="0" tIns="0" rIns="0" bIns="0"/>
          <a:lstStyle/>
          <a:p>
            <a:pPr algn="ctr" rtl="0">
              <a:defRPr sz="9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a:solidFill>
                <a:sysClr val="windowText" lastClr="000000"/>
              </a:solidFill>
            </a:endParaRPr>
          </a:p>
        </cx:txPr>
      </cx:axis>
    </cx:plotArea>
  </cx:chart>
  <cx:spPr>
    <a:ln w="3175">
      <a:solidFill>
        <a:schemeClr val="tx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txData>
          <cx:v>Quality Evaluation Assessment (wo/ R1: QE2/3/5/8)</cx:v>
        </cx:txData>
      </cx:tx>
      <cx:txPr>
        <a:bodyPr vertOverflow="overflow" horzOverflow="overflow" wrap="square" lIns="0" tIns="0" rIns="0" bIns="0"/>
        <a:lstStyle/>
        <a:p>
          <a:pPr algn="ctr" rtl="0">
            <a:defRPr sz="14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GB">
              <a:solidFill>
                <a:sysClr val="windowText" lastClr="000000"/>
              </a:solidFill>
            </a:rPr>
            <a:t>Quality Evaluation Assessment (wo/ R1: QE2/3/5/8)</a:t>
          </a:r>
        </a:p>
      </cx:txPr>
    </cx:title>
    <cx:plotArea>
      <cx:plotAreaRegion>
        <cx:series layoutId="clusteredColumn" uniqueId="{6FDEB38D-2CCC-4F52-B589-D3D6A1F7D076}" formatIdx="0">
          <cx:spPr>
            <a:solidFill>
              <a:srgbClr val="6C8EBF"/>
            </a:solidFill>
            <a:ln>
              <a:noFill/>
            </a:ln>
          </cx:spPr>
          <cx:dataLabels>
            <cx:txPr>
              <a:bodyPr vertOverflow="overflow" horzOverflow="overflow" wrap="square" lIns="0" tIns="0" rIns="0" bIns="0"/>
              <a:lstStyle/>
              <a:p>
                <a:pPr algn="ctr" rtl="0">
                  <a:defRPr sz="900" b="0" i="0">
                    <a:solidFill>
                      <a:schemeClr val="bg2">
                        <a:lumMod val="50000"/>
                      </a:schemeClr>
                    </a:solidFill>
                    <a:latin typeface="Calibri" panose="020F0502020204030204" pitchFamily="34" charset="0"/>
                    <a:ea typeface="Calibri" panose="020F0502020204030204" pitchFamily="34" charset="0"/>
                    <a:cs typeface="Calibri" panose="020F0502020204030204" pitchFamily="34" charset="0"/>
                  </a:defRPr>
                </a:pPr>
                <a:endParaRPr lang="en-GB">
                  <a:solidFill>
                    <a:schemeClr val="bg2">
                      <a:lumMod val="50000"/>
                    </a:schemeClr>
                  </a:solidFill>
                </a:endParaRPr>
              </a:p>
            </cx:txPr>
            <cx:visibility seriesName="0" categoryName="0" value="1"/>
          </cx:dataLabels>
          <cx:dataId val="0"/>
          <cx:layoutPr>
            <cx:aggregation/>
          </cx:layoutPr>
        </cx:series>
      </cx:plotAreaRegion>
      <cx:axis id="0">
        <cx:catScaling gapWidth="0.200000003"/>
        <cx:title>
          <cx:tx>
            <cx:txData>
              <cx:v>QE score (0..10.0) →</cx:v>
            </cx:txData>
          </cx:tx>
          <cx:txPr>
            <a:bodyPr spcFirstLastPara="1" vertOverflow="ellipsis" horzOverflow="overflow" wrap="square" lIns="0" tIns="0" rIns="0" bIns="0" anchor="ctr" anchorCtr="1"/>
            <a:lstStyle/>
            <a:p>
              <a:pPr algn="ctr" rtl="0">
                <a:defRPr>
                  <a:solidFill>
                    <a:sysClr val="windowText" lastClr="000000"/>
                  </a:solidFill>
                </a:defRPr>
              </a:pPr>
              <a:r>
                <a:rPr lang="en-US" sz="900" b="0" i="0" u="none" strike="noStrike" baseline="0">
                  <a:solidFill>
                    <a:sysClr val="windowText" lastClr="000000"/>
                  </a:solidFill>
                  <a:latin typeface="Calibri" panose="020F0502020204030204"/>
                </a:rPr>
                <a:t>QE score (0..10.0) →</a:t>
              </a:r>
            </a:p>
          </cx:txPr>
        </cx:title>
        <cx:majorTickMarks type="out"/>
        <cx:minorTickMarks type="out"/>
        <cx:tickLabels/>
        <cx:txPr>
          <a:bodyPr vertOverflow="overflow" horzOverflow="overflow" wrap="square" lIns="0" tIns="0" rIns="0" bIns="0"/>
          <a:lstStyle/>
          <a:p>
            <a:pPr algn="ctr" rtl="0">
              <a:defRPr sz="9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a:solidFill>
                <a:sysClr val="windowText" lastClr="000000"/>
              </a:solidFill>
            </a:endParaRPr>
          </a:p>
        </cx:txPr>
      </cx:axis>
      <cx:axis id="1">
        <cx:valScaling/>
        <cx:title>
          <cx:tx>
            <cx:txData>
              <cx:v>#records →</cx:v>
            </cx:txData>
          </cx:tx>
          <cx:txPr>
            <a:bodyPr spcFirstLastPara="1" vertOverflow="ellipsis" horzOverflow="overflow" wrap="square" lIns="0" tIns="0" rIns="0" bIns="0" anchor="ctr" anchorCtr="1"/>
            <a:lstStyle/>
            <a:p>
              <a:pPr algn="ctr" rtl="0">
                <a:defRPr>
                  <a:solidFill>
                    <a:sysClr val="windowText" lastClr="000000"/>
                  </a:solidFill>
                </a:defRPr>
              </a:pPr>
              <a:r>
                <a:rPr lang="en-US" sz="900" b="0" i="0" u="none" strike="noStrike" baseline="0">
                  <a:solidFill>
                    <a:sysClr val="windowText" lastClr="000000"/>
                  </a:solidFill>
                  <a:latin typeface="Calibri" panose="020F0502020204030204"/>
                </a:rPr>
                <a:t>#records →</a:t>
              </a:r>
            </a:p>
          </cx:txPr>
        </cx:title>
        <cx:majorGridlines/>
        <cx:majorTickMarks type="out"/>
        <cx:minorTickMarks type="out"/>
        <cx:tickLabels/>
        <cx:txPr>
          <a:bodyPr vertOverflow="overflow" horzOverflow="overflow" wrap="square" lIns="0" tIns="0" rIns="0" bIns="0"/>
          <a:lstStyle/>
          <a:p>
            <a:pPr algn="ctr" rtl="0">
              <a:defRPr sz="9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a:solidFill>
                <a:sysClr val="windowText" lastClr="000000"/>
              </a:solidFill>
            </a:endParaRPr>
          </a:p>
        </cx:txPr>
      </cx:axis>
    </cx:plotArea>
  </cx:chart>
  <cx:spPr>
    <a:ln w="3175">
      <a:solidFill>
        <a:schemeClr val="tx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16</xdr:col>
      <xdr:colOff>87923</xdr:colOff>
      <xdr:row>17</xdr:row>
      <xdr:rowOff>152400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9D17F4F-C259-41A3-9910-6771BCEC13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14325" y="161925"/>
              <a:ext cx="4802798"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0</xdr:colOff>
      <xdr:row>1</xdr:row>
      <xdr:rowOff>0</xdr:rowOff>
    </xdr:from>
    <xdr:to>
      <xdr:col>33</xdr:col>
      <xdr:colOff>87923</xdr:colOff>
      <xdr:row>17</xdr:row>
      <xdr:rowOff>152400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6B287C00-4785-455E-9D3C-35B5A4B942D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657850" y="161925"/>
              <a:ext cx="4802798"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30" totalsRowShown="0" headerRowDxfId="50" dataDxfId="49">
  <autoFilter ref="A1:P30" xr:uid="{00000000-0009-0000-0100-000001000000}"/>
  <sortState xmlns:xlrd2="http://schemas.microsoft.com/office/spreadsheetml/2017/richdata2" ref="A2:P30">
    <sortCondition ref="A2:A30"/>
  </sortState>
  <tableColumns count="16">
    <tableColumn id="2" xr3:uid="{00000000-0010-0000-0000-000002000000}" name="title" dataDxfId="48"/>
    <tableColumn id="3" xr3:uid="{00000000-0010-0000-0000-000003000000}" name="author" dataDxfId="47"/>
    <tableColumn id="4" xr3:uid="{00000000-0010-0000-0000-000004000000}" name="journal" dataDxfId="46"/>
    <tableColumn id="5" xr3:uid="{00000000-0010-0000-0000-000005000000}" name="year" dataDxfId="45"/>
    <tableColumn id="6" xr3:uid="{00000000-0010-0000-0000-000006000000}" name="source" dataDxfId="44"/>
    <tableColumn id="7" xr3:uid="{00000000-0010-0000-0000-000007000000}" name="pages" dataDxfId="43"/>
    <tableColumn id="8" xr3:uid="{00000000-0010-0000-0000-000008000000}" name="volume" dataDxfId="42"/>
    <tableColumn id="9" xr3:uid="{00000000-0010-0000-0000-000009000000}" name="abstract" dataDxfId="41"/>
    <tableColumn id="10" xr3:uid="{00000000-0010-0000-0000-00000A000000}" name="document_type" dataDxfId="40"/>
    <tableColumn id="11" xr3:uid="{00000000-0010-0000-0000-00000B000000}" name="doi" dataDxfId="39"/>
    <tableColumn id="12" xr3:uid="{00000000-0010-0000-0000-00000C000000}" name="url" dataDxfId="38"/>
    <tableColumn id="13" xr3:uid="{00000000-0010-0000-0000-00000D000000}" name="affiliation" dataDxfId="37"/>
    <tableColumn id="14" xr3:uid="{00000000-0010-0000-0000-00000E000000}" name="author_keywords" dataDxfId="36"/>
    <tableColumn id="15" xr3:uid="{00000000-0010-0000-0000-00000F000000}" name="keywords" dataDxfId="35"/>
    <tableColumn id="16" xr3:uid="{00000000-0010-0000-0000-000010000000}" name="publisher" dataDxfId="34"/>
    <tableColumn id="17" xr3:uid="{00000000-0010-0000-0000-000011000000}" name="issn" dataDxfId="3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13C04E-3951-4C17-9AD5-5E22CD992176}" name="Table2" displayName="Table2" ref="A2:R31" totalsRowShown="0">
  <autoFilter ref="A2:R31" xr:uid="{4813C04E-3951-4C17-9AD5-5E22CD992176}"/>
  <sortState xmlns:xlrd2="http://schemas.microsoft.com/office/spreadsheetml/2017/richdata2" ref="A3:R31">
    <sortCondition ref="R3:R31" customList="yes,no"/>
    <sortCondition ref="C3:C31"/>
    <sortCondition ref="A3:A31"/>
  </sortState>
  <tableColumns count="18">
    <tableColumn id="1" xr3:uid="{0CF38550-DC26-45B3-A195-00D3E4C0F211}" name="title"/>
    <tableColumn id="12" xr3:uid="{0F077A71-3EE7-490D-B55E-70827DE813E8}" name="author"/>
    <tableColumn id="13" xr3:uid="{E81C4977-098C-4325-9C40-73E84C0ED44B}" name="year"/>
    <tableColumn id="19" xr3:uid="{46BD9103-423C-4179-B05A-B3E5ED93DB26}" name="doi" dataDxfId="32"/>
    <tableColumn id="18" xr3:uid="{54F3D085-288F-444A-B63F-9ECE6012AB45}" name="url" dataDxfId="31"/>
    <tableColumn id="2" xr3:uid="{2BCE0B96-9C49-403C-B867-209A2FBEA6A6}" name="QE parsifal" dataDxfId="30">
      <calculatedColumnFormula>Table2[[#This Row],[QE score]]</calculatedColumnFormula>
    </tableColumn>
    <tableColumn id="6" xr3:uid="{9AA448D7-C56A-4D11-92A3-DF2ED2805C05}" name="QE1: related"/>
    <tableColumn id="9" xr3:uid="{217310C0-4E17-4D46-AD2D-63A46C8F21E3}" name="QE2: method"/>
    <tableColumn id="11" xr3:uid="{9BE376C0-F8CB-403E-865D-A0E2026E3FF7}" name="QE3: l+m"/>
    <tableColumn id="10" xr3:uid="{76C1DF1E-D464-49DC-8AD1-8A38403B0210}" name="QE4: hw+sw"/>
    <tableColumn id="7" xr3:uid="{E6FE9C92-C4F1-4742-9BBA-D4205FD0A48A}" name="QE5: long"/>
    <tableColumn id="8" xr3:uid="{3BF21DF8-1E1C-487B-9808-0878BAFE5257}" name="QE6: others"/>
    <tableColumn id="3" xr3:uid="{54B0E2A3-CBA0-4064-BAA1-3F6098448B2E}" name="QE7: public"/>
    <tableColumn id="4" xr3:uid="{D0C73622-DB34-495D-AE54-B520D304E58D}" name="QE8: results"/>
    <tableColumn id="5" xr3:uid="{CD562DBB-99FE-43D9-A9CE-AE17C5B42CE8}" name="QE score" dataDxfId="29">
      <calculatedColumnFormula>IF(Table2[[#This Row],[QE1: related]]="full",G$1,IF(Table2[[#This Row],[QE1: related]]="partial",G$1*0.5,0))+IF(Table2[[#This Row],[QE2: method]]="full",H$1,IF(Table2[[#This Row],[QE2: method]]="partial",H$1*0.5,0))+IF(Table2[[#This Row],[QE3: l+m]]="full",I$1,IF(Table2[[#This Row],[QE3: l+m]]="partial",I$1*0.5,0))+IF(Table2[[#This Row],[QE4: hw+sw]]="full",J$1,IF(Table2[[#This Row],[QE4: hw+sw]]="partial",J$1*0.5,0))+IF(Table2[[#This Row],[QE5: long]]="full",K$1,IF(Table2[[#This Row],[QE5: long]]="partial",K$1*0.5,0))+IF(Table2[[#This Row],[QE6: others]]="full",L$1,IF(Table2[[#This Row],[QE6: others]]="partial",L$1*0.5,0))+IF(Table2[[#This Row],[QE7: public]]="full",M$1,IF(Table2[[#This Row],[QE7: public]]="partial",M$1*0.5,0))+IF(Table2[[#This Row],[QE8: results]]="full",N$1,IF(Table2[[#This Row],[QE8: results]]="partial",N$1*0.5,0))</calculatedColumnFormula>
    </tableColumn>
    <tableColumn id="16" xr3:uid="{08CFC487-1911-4523-B4F7-08D3704EBCB5}" name="QE R1:_x000a_QE2/3/5/8" dataDxfId="28">
      <calculatedColumnFormula>IF(OR(Table2[[#This Row],[QE2: method]]="none",Table2[[#This Row],[QE3: l+m]]="none",Table2[[#This Row],[QE5: long]]="none",Table2[[#This Row],[QE8: results]]="none"),"reject","ok")</calculatedColumnFormula>
    </tableColumn>
    <tableColumn id="14" xr3:uid="{146DE30D-BAE5-4D76-BDC1-96A99DD6A808}" name="QE R2:_x000a_cut-off" dataDxfId="27">
      <calculatedColumnFormula>IF(Table2[[#This Row],[QE score]]&lt;=$Q$1,"reject","ok")</calculatedColumnFormula>
    </tableColumn>
    <tableColumn id="17" xr3:uid="{A6EA9EB1-7A33-482B-AD2C-06AB5AFB4F94}" name="include?" dataDxfId="26">
      <calculatedColumnFormula>IF(AND(Table2[[#This Row],[QE R1:
QE2/3/5/8]] &lt;&gt; "reject", Table2[[#This Row],[QE R2:
cut-off]] &lt;&gt; "reject"),"yes","no")</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216FC5C-BC08-42D4-B4E1-15413C03FFAD}" name="Table4" displayName="Table4" ref="A1:A4" totalsRowShown="0" headerRowDxfId="25" dataDxfId="24">
  <autoFilter ref="A1:A4" xr:uid="{D216FC5C-BC08-42D4-B4E1-15413C03FFAD}"/>
  <tableColumns count="1">
    <tableColumn id="1" xr3:uid="{BFB27CC8-6784-4A15-9BE3-FC016698C653}" name="QE options" dataDxfId="2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C8D7A7E-57EA-48C7-8BE2-5733263DD580}" name="Table3" displayName="Table3" ref="C1:D22" totalsRowShown="0" headerRowDxfId="22">
  <autoFilter ref="C1:D22" xr:uid="{CC8D7A7E-57EA-48C7-8BE2-5733263DD580}"/>
  <tableColumns count="2">
    <tableColumn id="1" xr3:uid="{536DF366-6912-4F71-946E-28E7190508D7}" name="QE scores"/>
    <tableColumn id="2" xr3:uid="{240223F8-A5E3-481C-B7A6-C0256D4044C0}" name="#records" dataDxfId="21">
      <calculatedColumnFormula>COUNTIF(Table2[QE parsifal],Table3[[#This Row],[QE scores]])</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4295ABF-7A89-4807-9E44-78F7C46DF235}" name="Table5" displayName="Table5" ref="L1:N22" totalsRowShown="0" headerRowDxfId="20">
  <autoFilter ref="L1:N22" xr:uid="{84295ABF-7A89-4807-9E44-78F7C46DF235}"/>
  <sortState xmlns:xlrd2="http://schemas.microsoft.com/office/spreadsheetml/2017/richdata2" ref="L2:M22">
    <sortCondition descending="1" ref="L1:L22"/>
  </sortState>
  <tableColumns count="3">
    <tableColumn id="1" xr3:uid="{4DA02C84-0999-4962-A444-6B4204A5E049}" name="QE scores"/>
    <tableColumn id="2" xr3:uid="{15021F80-EA71-4DDC-982C-22B79CEE6582}" name="cumul #" dataDxfId="19">
      <calculatedColumnFormula>COUNTIF(Table2[QE parsifal],"&gt;=" &amp; Table5[[#This Row],[QE scores]])</calculatedColumnFormula>
    </tableColumn>
    <tableColumn id="3" xr3:uid="{D1006D37-E3B1-4616-B9B1-F5CCBCE714E7}" name="%" dataDxfId="18">
      <calculatedColumnFormula>Table5[[#This Row],[cumul '#]]/$D$23</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88E6F42-C0FC-4197-8315-AA79C16EC324}" name="Table37" displayName="Table37" ref="C27:M48" totalsRowShown="0" headerRowDxfId="17">
  <autoFilter ref="C27:M48" xr:uid="{A88E6F42-C0FC-4197-8315-AA79C16EC324}"/>
  <tableColumns count="11">
    <tableColumn id="1" xr3:uid="{EF6AE36E-B85B-426F-9EDD-16C88C3EE827}" name="QE scores"/>
    <tableColumn id="2" xr3:uid="{1F708127-0EE7-45C3-9781-227B95252131}" name="#records" dataDxfId="16">
      <calculatedColumnFormula>COUNTIFS(Table2[QE parsifal],Table37[[#This Row],[QE scores]],Table2[QE R1:
QE2/3/5/8],"ok")</calculatedColumnFormula>
    </tableColumn>
    <tableColumn id="3" xr3:uid="{08BE139C-68C7-4863-A278-D110ABA9B2B3}" name="cumul #" dataDxfId="15">
      <calculatedColumnFormula>COUNTIFS(Table2[QE parsifal],"&gt;=" &amp; Table37[[#This Row],[QE scores]],Table2[QE R1:
QE2/3/5/8],"ok")</calculatedColumnFormula>
    </tableColumn>
    <tableColumn id="7" xr3:uid="{5D112F35-304D-4446-A0BC-8DF2DDEBE096}" name="%cumul #" dataDxfId="14">
      <calculatedColumnFormula>Table37[[#This Row],[cumul '#]]/$D$49</calculatedColumnFormula>
    </tableColumn>
    <tableColumn id="12" xr3:uid="{810A7296-E2E8-4E2B-A332-D6331CAD791E}" name="%cumul # total" dataDxfId="13">
      <calculatedColumnFormula>Table37[[#This Row],[cumul '#]]/$D$23</calculatedColumnFormula>
    </tableColumn>
    <tableColumn id="13" xr3:uid="{71DE376A-A25E-47E8-A802-39F2519D4438}" name="inv cuml #" dataDxfId="12">
      <calculatedColumnFormula>COUNTIFS(Table2[QE parsifal],"&lt;=" &amp; Table37[[#This Row],[QE scores]],Table2[QE R1:
QE2/3/5/8],"ok")</calculatedColumnFormula>
    </tableColumn>
    <tableColumn id="14" xr3:uid="{CE0FFC32-19D8-478B-97C1-C6E06ED4EFFB}" name="%inv cuml #" dataDxfId="11">
      <calculatedColumnFormula>Table37[[#This Row],[inv cuml '#]]/$D$49</calculatedColumnFormula>
    </tableColumn>
    <tableColumn id="8" xr3:uid="{0CA2304A-D741-4509-A1B7-C00BE206837E}" name="Y" dataDxfId="10">
      <calculatedColumnFormula>Table37[[#This Row],['#records]]/$D$49</calculatedColumnFormula>
    </tableColumn>
    <tableColumn id="9" xr3:uid="{2509A1D1-46B5-4A44-AF15-23D6B6BD15F2}" name="^Y" dataDxfId="9">
      <calculatedColumnFormula>_xlfn.NORM.DIST(Table37[[#This Row],[QE scores]],$P$31,$P$32,FALSE)</calculatedColumnFormula>
    </tableColumn>
    <tableColumn id="10" xr3:uid="{F9102C1E-598A-4E76-8CCA-04F1C1E23915}" name="^#records" dataDxfId="8">
      <calculatedColumnFormula>Table37[[#This Row],[^Y]]*$D$49</calculatedColumnFormula>
    </tableColumn>
    <tableColumn id="11" xr3:uid="{BCE9461F-1944-4EF6-9406-247DC53831DA}" name="error" dataDxfId="7">
      <calculatedColumnFormula>(Table37[[#This Row],[^'#records]]-Table37[[#This Row],['#records]])/$D$49</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hyperlink" Target="https://doi.org/10.5194/isprs-annals-V-1-2022-211-2022" TargetMode="External"/><Relationship Id="rId18" Type="http://schemas.openxmlformats.org/officeDocument/2006/relationships/hyperlink" Target="https://doi.org/10.1109/LRA.2022.3191794" TargetMode="External"/><Relationship Id="rId26" Type="http://schemas.openxmlformats.org/officeDocument/2006/relationships/hyperlink" Target="https://doi.org/10.1007/s10514-019-09874-z" TargetMode="External"/><Relationship Id="rId3" Type="http://schemas.openxmlformats.org/officeDocument/2006/relationships/hyperlink" Target="https://doi.org/10.1007/s11370-021-00395-2" TargetMode="External"/><Relationship Id="rId21" Type="http://schemas.openxmlformats.org/officeDocument/2006/relationships/hyperlink" Target="https://doi.org/10.1109/ICRA46639.2022.9811658" TargetMode="External"/><Relationship Id="rId7" Type="http://schemas.openxmlformats.org/officeDocument/2006/relationships/hyperlink" Target="https://doi.org/10.1109/TITS.2021.3094485" TargetMode="External"/><Relationship Id="rId12" Type="http://schemas.openxmlformats.org/officeDocument/2006/relationships/hyperlink" Target="https://doi.org/10.1109/TIM.2022.3209726" TargetMode="External"/><Relationship Id="rId17" Type="http://schemas.openxmlformats.org/officeDocument/2006/relationships/hyperlink" Target="https://doi.org/10.1109/LRA.2022.3185385" TargetMode="External"/><Relationship Id="rId25" Type="http://schemas.openxmlformats.org/officeDocument/2006/relationships/hyperlink" Target="https://doi.org/10.55417/fr.2022053" TargetMode="External"/><Relationship Id="rId33" Type="http://schemas.openxmlformats.org/officeDocument/2006/relationships/comments" Target="../comments1.xml"/><Relationship Id="rId2" Type="http://schemas.openxmlformats.org/officeDocument/2006/relationships/hyperlink" Target="https://doi.org/10.1109/TITS.2021.3102429" TargetMode="External"/><Relationship Id="rId16" Type="http://schemas.openxmlformats.org/officeDocument/2006/relationships/hyperlink" Target="https://doi.org/10.1007/978-981-19-2580-1_36" TargetMode="External"/><Relationship Id="rId20" Type="http://schemas.openxmlformats.org/officeDocument/2006/relationships/hyperlink" Target="https://doi.org/10.1109/ICRA46639.2022.9811855" TargetMode="External"/><Relationship Id="rId29" Type="http://schemas.openxmlformats.org/officeDocument/2006/relationships/hyperlink" Target="https://doi.org/10.1109/ICRA46639.2022.9812297" TargetMode="External"/><Relationship Id="rId1" Type="http://schemas.openxmlformats.org/officeDocument/2006/relationships/hyperlink" Target="https://doi.org/10.1109/CVPR52688.2022.01683" TargetMode="External"/><Relationship Id="rId6" Type="http://schemas.openxmlformats.org/officeDocument/2006/relationships/hyperlink" Target="https://doi.org/10.1002/rob.22088" TargetMode="External"/><Relationship Id="rId11" Type="http://schemas.openxmlformats.org/officeDocument/2006/relationships/hyperlink" Target="https://doi.org/10.1016/j.robot.2022.104136" TargetMode="External"/><Relationship Id="rId24" Type="http://schemas.openxmlformats.org/officeDocument/2006/relationships/hyperlink" Target="https://doi.org/10.1109/ACCESS.2022.3185732" TargetMode="External"/><Relationship Id="rId32" Type="http://schemas.openxmlformats.org/officeDocument/2006/relationships/table" Target="../tables/table2.xml"/><Relationship Id="rId5" Type="http://schemas.openxmlformats.org/officeDocument/2006/relationships/hyperlink" Target="https://doi.org/10.1109/ICRA46639.2022.9811916" TargetMode="External"/><Relationship Id="rId15" Type="http://schemas.openxmlformats.org/officeDocument/2006/relationships/hyperlink" Target="https://doi.org/10.1109/ICUAS54217.2022.9836116" TargetMode="External"/><Relationship Id="rId23" Type="http://schemas.openxmlformats.org/officeDocument/2006/relationships/hyperlink" Target="https://doi.org/10.1007/s11432-021-3425-8" TargetMode="External"/><Relationship Id="rId28" Type="http://schemas.openxmlformats.org/officeDocument/2006/relationships/hyperlink" Target="https://doi.org/10.1109/ROBIO54168.2021.9739362" TargetMode="External"/><Relationship Id="rId10" Type="http://schemas.openxmlformats.org/officeDocument/2006/relationships/hyperlink" Target="https://doi.org/10.1109/LRA.2022.3207800" TargetMode="External"/><Relationship Id="rId19" Type="http://schemas.openxmlformats.org/officeDocument/2006/relationships/hyperlink" Target="https://doi.org/10.1007/s11370-022-00423-9" TargetMode="External"/><Relationship Id="rId31" Type="http://schemas.openxmlformats.org/officeDocument/2006/relationships/vmlDrawing" Target="../drawings/vmlDrawing1.vml"/><Relationship Id="rId4" Type="http://schemas.openxmlformats.org/officeDocument/2006/relationships/hyperlink" Target="https://doi.org/10.1016/j.isprsjprs.2022.05.005" TargetMode="External"/><Relationship Id="rId9" Type="http://schemas.openxmlformats.org/officeDocument/2006/relationships/hyperlink" Target="https://doi.org/10.23919/FUSION49751.2022.9841255" TargetMode="External"/><Relationship Id="rId14" Type="http://schemas.openxmlformats.org/officeDocument/2006/relationships/hyperlink" Target="https://doi.org/10.1109/TIM.2022.3181903" TargetMode="External"/><Relationship Id="rId22" Type="http://schemas.openxmlformats.org/officeDocument/2006/relationships/hyperlink" Target="https://doi.org/10.1109/TIP.2022.3187565" TargetMode="External"/><Relationship Id="rId27" Type="http://schemas.openxmlformats.org/officeDocument/2006/relationships/hyperlink" Target="https://doi.org/10.1109/ROBIO54168.2021.9739599" TargetMode="External"/><Relationship Id="rId30" Type="http://schemas.openxmlformats.org/officeDocument/2006/relationships/printerSettings" Target="../printerSettings/printerSettings1.bin"/><Relationship Id="rId8" Type="http://schemas.openxmlformats.org/officeDocument/2006/relationships/hyperlink" Target="https://doi.org/10.1109/TIM.2022.3190031"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 Id="rId5" Type="http://schemas.openxmlformats.org/officeDocument/2006/relationships/table" Target="../tables/table6.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30"/>
  <sheetViews>
    <sheetView zoomScale="85" zoomScaleNormal="85" workbookViewId="0"/>
  </sheetViews>
  <sheetFormatPr defaultRowHeight="12.75" x14ac:dyDescent="0.2"/>
  <cols>
    <col min="1" max="1" width="70.7109375" customWidth="1"/>
    <col min="2" max="2" width="9" customWidth="1"/>
    <col min="3" max="3" width="9.5703125" customWidth="1"/>
    <col min="4" max="4" width="7.85546875" customWidth="1"/>
    <col min="5" max="5" width="9.140625" customWidth="1"/>
    <col min="6" max="6" width="8.5703125" customWidth="1"/>
    <col min="7" max="7" width="9.85546875" customWidth="1"/>
    <col min="8" max="8" width="10.28515625" customWidth="1"/>
    <col min="9" max="9" width="17" customWidth="1"/>
    <col min="10" max="11" width="7.85546875" customWidth="1"/>
    <col min="12" max="12" width="11.7109375" customWidth="1"/>
    <col min="13" max="13" width="18.5703125" customWidth="1"/>
    <col min="14" max="14" width="11.7109375" customWidth="1"/>
    <col min="15" max="15" width="11.5703125" customWidth="1"/>
    <col min="16" max="16" width="7.85546875" customWidth="1"/>
  </cols>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2" t="s">
        <v>130</v>
      </c>
      <c r="B2" s="2" t="s">
        <v>131</v>
      </c>
      <c r="C2" s="2" t="s">
        <v>132</v>
      </c>
      <c r="D2" s="2" t="s">
        <v>23</v>
      </c>
      <c r="E2" s="2" t="s">
        <v>44</v>
      </c>
      <c r="F2" s="2" t="s">
        <v>133</v>
      </c>
      <c r="G2" s="2"/>
      <c r="H2" s="2" t="s">
        <v>134</v>
      </c>
      <c r="I2" s="2"/>
      <c r="J2" s="2" t="s">
        <v>135</v>
      </c>
      <c r="K2" s="2" t="s">
        <v>136</v>
      </c>
      <c r="L2" s="2"/>
      <c r="M2" s="2"/>
      <c r="N2" s="2" t="s">
        <v>137</v>
      </c>
      <c r="O2" s="2"/>
      <c r="P2" s="2"/>
    </row>
    <row r="3" spans="1:16" x14ac:dyDescent="0.2">
      <c r="A3" s="2" t="s">
        <v>138</v>
      </c>
      <c r="B3" s="2" t="s">
        <v>139</v>
      </c>
      <c r="C3" s="2" t="s">
        <v>19</v>
      </c>
      <c r="D3" s="2" t="s">
        <v>23</v>
      </c>
      <c r="E3" s="2" t="s">
        <v>44</v>
      </c>
      <c r="F3" s="2" t="s">
        <v>140</v>
      </c>
      <c r="G3" s="2" t="s">
        <v>24</v>
      </c>
      <c r="H3" s="2" t="s">
        <v>141</v>
      </c>
      <c r="I3" s="2"/>
      <c r="J3" s="2" t="s">
        <v>142</v>
      </c>
      <c r="K3" s="2" t="s">
        <v>143</v>
      </c>
      <c r="L3" s="2"/>
      <c r="M3" s="2"/>
      <c r="N3" s="2" t="s">
        <v>144</v>
      </c>
      <c r="O3" s="2"/>
      <c r="P3" s="2" t="s">
        <v>145</v>
      </c>
    </row>
    <row r="4" spans="1:16" x14ac:dyDescent="0.2">
      <c r="A4" s="2" t="s">
        <v>63</v>
      </c>
      <c r="B4" s="2" t="s">
        <v>53</v>
      </c>
      <c r="C4" s="2" t="s">
        <v>64</v>
      </c>
      <c r="D4" s="2" t="s">
        <v>23</v>
      </c>
      <c r="E4" s="2" t="s">
        <v>55</v>
      </c>
      <c r="F4" s="2" t="s">
        <v>146</v>
      </c>
      <c r="G4" s="2" t="s">
        <v>43</v>
      </c>
      <c r="H4" s="2" t="s">
        <v>65</v>
      </c>
      <c r="I4" s="2" t="s">
        <v>52</v>
      </c>
      <c r="J4" s="2" t="s">
        <v>54</v>
      </c>
      <c r="K4" s="2" t="s">
        <v>147</v>
      </c>
      <c r="L4" s="2" t="s">
        <v>66</v>
      </c>
      <c r="M4" s="2" t="s">
        <v>67</v>
      </c>
      <c r="N4" s="2" t="s">
        <v>68</v>
      </c>
      <c r="O4" s="2" t="s">
        <v>69</v>
      </c>
      <c r="P4" s="2" t="s">
        <v>70</v>
      </c>
    </row>
    <row r="5" spans="1:16" x14ac:dyDescent="0.2">
      <c r="A5" s="2" t="s">
        <v>148</v>
      </c>
      <c r="B5" s="2" t="s">
        <v>149</v>
      </c>
      <c r="C5" s="2" t="s">
        <v>72</v>
      </c>
      <c r="D5" s="2" t="s">
        <v>23</v>
      </c>
      <c r="E5" s="2" t="s">
        <v>55</v>
      </c>
      <c r="F5" s="2" t="s">
        <v>150</v>
      </c>
      <c r="G5" s="2" t="s">
        <v>151</v>
      </c>
      <c r="H5" s="2" t="s">
        <v>152</v>
      </c>
      <c r="I5" s="2" t="s">
        <v>52</v>
      </c>
      <c r="J5" s="2" t="s">
        <v>153</v>
      </c>
      <c r="K5" s="2" t="s">
        <v>154</v>
      </c>
      <c r="L5" s="2" t="s">
        <v>155</v>
      </c>
      <c r="M5" s="2" t="s">
        <v>156</v>
      </c>
      <c r="N5" s="2" t="s">
        <v>157</v>
      </c>
      <c r="O5" s="2" t="s">
        <v>59</v>
      </c>
      <c r="P5" s="2" t="s">
        <v>73</v>
      </c>
    </row>
    <row r="6" spans="1:16" x14ac:dyDescent="0.2">
      <c r="A6" s="2" t="s">
        <v>158</v>
      </c>
      <c r="B6" s="2" t="s">
        <v>159</v>
      </c>
      <c r="C6" s="2" t="s">
        <v>60</v>
      </c>
      <c r="D6" s="2" t="s">
        <v>23</v>
      </c>
      <c r="E6" s="2" t="s">
        <v>55</v>
      </c>
      <c r="F6" s="2" t="s">
        <v>160</v>
      </c>
      <c r="G6" s="2"/>
      <c r="H6" s="2" t="s">
        <v>161</v>
      </c>
      <c r="I6" s="2" t="s">
        <v>56</v>
      </c>
      <c r="J6" s="2" t="s">
        <v>162</v>
      </c>
      <c r="K6" s="2" t="s">
        <v>163</v>
      </c>
      <c r="L6" s="2" t="s">
        <v>164</v>
      </c>
      <c r="M6" s="2"/>
      <c r="N6" s="2" t="s">
        <v>165</v>
      </c>
      <c r="O6" s="2" t="s">
        <v>57</v>
      </c>
      <c r="P6" s="2" t="s">
        <v>61</v>
      </c>
    </row>
    <row r="7" spans="1:16" x14ac:dyDescent="0.2">
      <c r="A7" s="2" t="s">
        <v>166</v>
      </c>
      <c r="B7" s="2" t="s">
        <v>167</v>
      </c>
      <c r="C7" s="2" t="s">
        <v>41</v>
      </c>
      <c r="D7" s="2" t="s">
        <v>23</v>
      </c>
      <c r="E7" s="2" t="s">
        <v>55</v>
      </c>
      <c r="F7" s="2" t="s">
        <v>168</v>
      </c>
      <c r="G7" s="2" t="s">
        <v>50</v>
      </c>
      <c r="H7" s="2" t="s">
        <v>169</v>
      </c>
      <c r="I7" s="2" t="s">
        <v>52</v>
      </c>
      <c r="J7" s="2" t="s">
        <v>170</v>
      </c>
      <c r="K7" s="2" t="s">
        <v>171</v>
      </c>
      <c r="L7" s="2" t="s">
        <v>172</v>
      </c>
      <c r="M7" s="2" t="s">
        <v>173</v>
      </c>
      <c r="N7" s="2" t="s">
        <v>174</v>
      </c>
      <c r="O7" s="2" t="s">
        <v>74</v>
      </c>
      <c r="P7" s="2" t="s">
        <v>62</v>
      </c>
    </row>
    <row r="8" spans="1:16" x14ac:dyDescent="0.2">
      <c r="A8" s="2" t="s">
        <v>25</v>
      </c>
      <c r="B8" s="2" t="s">
        <v>26</v>
      </c>
      <c r="C8" s="2" t="s">
        <v>19</v>
      </c>
      <c r="D8" s="2" t="s">
        <v>23</v>
      </c>
      <c r="E8" s="2" t="s">
        <v>55</v>
      </c>
      <c r="F8" s="2" t="s">
        <v>175</v>
      </c>
      <c r="G8" s="2" t="s">
        <v>24</v>
      </c>
      <c r="H8" s="2" t="s">
        <v>176</v>
      </c>
      <c r="I8" s="2" t="s">
        <v>52</v>
      </c>
      <c r="J8" s="2" t="s">
        <v>28</v>
      </c>
      <c r="K8" s="2" t="s">
        <v>177</v>
      </c>
      <c r="L8" s="2" t="s">
        <v>178</v>
      </c>
      <c r="M8" s="2" t="s">
        <v>179</v>
      </c>
      <c r="N8" s="2" t="s">
        <v>81</v>
      </c>
      <c r="O8" s="2" t="s">
        <v>57</v>
      </c>
      <c r="P8" s="2" t="s">
        <v>75</v>
      </c>
    </row>
    <row r="9" spans="1:16" x14ac:dyDescent="0.2">
      <c r="A9" s="2" t="s">
        <v>180</v>
      </c>
      <c r="B9" s="2" t="s">
        <v>181</v>
      </c>
      <c r="C9" s="2" t="s">
        <v>182</v>
      </c>
      <c r="D9" s="2" t="s">
        <v>23</v>
      </c>
      <c r="E9" s="2" t="s">
        <v>55</v>
      </c>
      <c r="F9" s="2" t="s">
        <v>183</v>
      </c>
      <c r="G9" s="2" t="s">
        <v>184</v>
      </c>
      <c r="H9" s="2" t="s">
        <v>185</v>
      </c>
      <c r="I9" s="2" t="s">
        <v>52</v>
      </c>
      <c r="J9" s="2" t="s">
        <v>186</v>
      </c>
      <c r="K9" s="2" t="s">
        <v>187</v>
      </c>
      <c r="L9" s="2" t="s">
        <v>188</v>
      </c>
      <c r="M9" s="2" t="s">
        <v>189</v>
      </c>
      <c r="N9" s="2" t="s">
        <v>190</v>
      </c>
      <c r="O9" s="2" t="s">
        <v>57</v>
      </c>
      <c r="P9" s="2" t="s">
        <v>191</v>
      </c>
    </row>
    <row r="10" spans="1:16" x14ac:dyDescent="0.2">
      <c r="A10" s="2" t="s">
        <v>192</v>
      </c>
      <c r="B10" s="2" t="s">
        <v>193</v>
      </c>
      <c r="C10" s="2" t="s">
        <v>194</v>
      </c>
      <c r="D10" s="2" t="s">
        <v>23</v>
      </c>
      <c r="E10" s="2" t="s">
        <v>55</v>
      </c>
      <c r="F10" s="2" t="s">
        <v>18</v>
      </c>
      <c r="G10" s="2"/>
      <c r="H10" s="2" t="s">
        <v>195</v>
      </c>
      <c r="I10" s="2" t="s">
        <v>56</v>
      </c>
      <c r="J10" s="2" t="s">
        <v>196</v>
      </c>
      <c r="K10" s="2" t="s">
        <v>197</v>
      </c>
      <c r="L10" s="2" t="s">
        <v>198</v>
      </c>
      <c r="M10" s="2" t="s">
        <v>199</v>
      </c>
      <c r="N10" s="2" t="s">
        <v>200</v>
      </c>
      <c r="O10" s="2" t="s">
        <v>57</v>
      </c>
      <c r="P10" s="2"/>
    </row>
    <row r="11" spans="1:16" x14ac:dyDescent="0.2">
      <c r="A11" s="2" t="s">
        <v>201</v>
      </c>
      <c r="B11" s="2" t="s">
        <v>202</v>
      </c>
      <c r="C11" s="2" t="s">
        <v>17</v>
      </c>
      <c r="D11" s="2" t="s">
        <v>23</v>
      </c>
      <c r="E11" s="2" t="s">
        <v>55</v>
      </c>
      <c r="F11" s="2" t="s">
        <v>203</v>
      </c>
      <c r="G11" s="2" t="s">
        <v>22</v>
      </c>
      <c r="H11" s="2" t="s">
        <v>204</v>
      </c>
      <c r="I11" s="2" t="s">
        <v>52</v>
      </c>
      <c r="J11" s="2" t="s">
        <v>205</v>
      </c>
      <c r="K11" s="2" t="s">
        <v>206</v>
      </c>
      <c r="L11" s="2" t="s">
        <v>207</v>
      </c>
      <c r="M11" s="2" t="s">
        <v>208</v>
      </c>
      <c r="N11" s="2" t="s">
        <v>209</v>
      </c>
      <c r="O11" s="2" t="s">
        <v>57</v>
      </c>
      <c r="P11" s="2" t="s">
        <v>58</v>
      </c>
    </row>
    <row r="12" spans="1:16" x14ac:dyDescent="0.2">
      <c r="A12" s="2" t="s">
        <v>210</v>
      </c>
      <c r="B12" s="2" t="s">
        <v>211</v>
      </c>
      <c r="C12" s="2" t="s">
        <v>212</v>
      </c>
      <c r="D12" s="2" t="s">
        <v>23</v>
      </c>
      <c r="E12" s="2" t="s">
        <v>51</v>
      </c>
      <c r="F12" s="2" t="s">
        <v>213</v>
      </c>
      <c r="G12" s="2" t="s">
        <v>214</v>
      </c>
      <c r="H12" s="2" t="s">
        <v>215</v>
      </c>
      <c r="I12" s="2" t="s">
        <v>52</v>
      </c>
      <c r="J12" s="2" t="s">
        <v>216</v>
      </c>
      <c r="K12" s="2"/>
      <c r="L12" s="2" t="s">
        <v>217</v>
      </c>
      <c r="M12" s="2"/>
      <c r="N12" s="2" t="s">
        <v>218</v>
      </c>
      <c r="O12" s="2"/>
      <c r="P12" s="2" t="s">
        <v>45</v>
      </c>
    </row>
    <row r="13" spans="1:16" x14ac:dyDescent="0.2">
      <c r="A13" s="2" t="s">
        <v>219</v>
      </c>
      <c r="B13" s="2" t="s">
        <v>220</v>
      </c>
      <c r="C13" s="2" t="s">
        <v>182</v>
      </c>
      <c r="D13" s="2" t="s">
        <v>23</v>
      </c>
      <c r="E13" s="2" t="s">
        <v>55</v>
      </c>
      <c r="F13" s="2" t="s">
        <v>27</v>
      </c>
      <c r="G13" s="2" t="s">
        <v>184</v>
      </c>
      <c r="H13" s="2" t="s">
        <v>221</v>
      </c>
      <c r="I13" s="2" t="s">
        <v>52</v>
      </c>
      <c r="J13" s="2" t="s">
        <v>222</v>
      </c>
      <c r="K13" s="2" t="s">
        <v>223</v>
      </c>
      <c r="L13" s="2" t="s">
        <v>224</v>
      </c>
      <c r="M13" s="2" t="s">
        <v>225</v>
      </c>
      <c r="N13" s="2" t="s">
        <v>226</v>
      </c>
      <c r="O13" s="2" t="s">
        <v>57</v>
      </c>
      <c r="P13" s="2" t="s">
        <v>191</v>
      </c>
    </row>
    <row r="14" spans="1:16" x14ac:dyDescent="0.2">
      <c r="A14" s="2" t="s">
        <v>227</v>
      </c>
      <c r="B14" s="2" t="s">
        <v>228</v>
      </c>
      <c r="C14" s="2" t="s">
        <v>78</v>
      </c>
      <c r="D14" s="2" t="s">
        <v>23</v>
      </c>
      <c r="E14" s="2" t="s">
        <v>55</v>
      </c>
      <c r="F14" s="2" t="s">
        <v>229</v>
      </c>
      <c r="G14" s="2" t="s">
        <v>35</v>
      </c>
      <c r="H14" s="2" t="s">
        <v>230</v>
      </c>
      <c r="I14" s="2" t="s">
        <v>56</v>
      </c>
      <c r="J14" s="2" t="s">
        <v>231</v>
      </c>
      <c r="K14" s="2" t="s">
        <v>232</v>
      </c>
      <c r="L14" s="2" t="s">
        <v>233</v>
      </c>
      <c r="M14" s="2" t="s">
        <v>234</v>
      </c>
      <c r="N14" s="2" t="s">
        <v>235</v>
      </c>
      <c r="O14" s="2" t="s">
        <v>79</v>
      </c>
      <c r="P14" s="2" t="s">
        <v>80</v>
      </c>
    </row>
    <row r="15" spans="1:16" x14ac:dyDescent="0.2">
      <c r="A15" s="2" t="s">
        <v>236</v>
      </c>
      <c r="B15" s="2" t="s">
        <v>237</v>
      </c>
      <c r="C15" s="2" t="s">
        <v>182</v>
      </c>
      <c r="D15" s="2" t="s">
        <v>23</v>
      </c>
      <c r="E15" s="2" t="s">
        <v>55</v>
      </c>
      <c r="F15" s="2" t="s">
        <v>238</v>
      </c>
      <c r="G15" s="2" t="s">
        <v>184</v>
      </c>
      <c r="H15" s="2" t="s">
        <v>239</v>
      </c>
      <c r="I15" s="2" t="s">
        <v>52</v>
      </c>
      <c r="J15" s="2" t="s">
        <v>240</v>
      </c>
      <c r="K15" s="2" t="s">
        <v>241</v>
      </c>
      <c r="L15" s="2" t="s">
        <v>242</v>
      </c>
      <c r="M15" s="2" t="s">
        <v>243</v>
      </c>
      <c r="N15" s="2" t="s">
        <v>244</v>
      </c>
      <c r="O15" s="2" t="s">
        <v>57</v>
      </c>
      <c r="P15" s="2" t="s">
        <v>191</v>
      </c>
    </row>
    <row r="16" spans="1:16" x14ac:dyDescent="0.2">
      <c r="A16" s="2" t="s">
        <v>245</v>
      </c>
      <c r="B16" s="2" t="s">
        <v>246</v>
      </c>
      <c r="C16" s="2" t="s">
        <v>247</v>
      </c>
      <c r="D16" s="2" t="s">
        <v>23</v>
      </c>
      <c r="E16" s="2" t="s">
        <v>55</v>
      </c>
      <c r="F16" s="2" t="s">
        <v>248</v>
      </c>
      <c r="G16" s="2"/>
      <c r="H16" s="2" t="s">
        <v>249</v>
      </c>
      <c r="I16" s="2" t="s">
        <v>56</v>
      </c>
      <c r="J16" s="2" t="s">
        <v>250</v>
      </c>
      <c r="K16" s="2" t="s">
        <v>251</v>
      </c>
      <c r="L16" s="2" t="s">
        <v>252</v>
      </c>
      <c r="M16" s="2"/>
      <c r="N16" s="2" t="s">
        <v>253</v>
      </c>
      <c r="O16" s="2" t="s">
        <v>57</v>
      </c>
      <c r="P16" s="2"/>
    </row>
    <row r="17" spans="1:16" x14ac:dyDescent="0.2">
      <c r="A17" s="2" t="s">
        <v>254</v>
      </c>
      <c r="B17" s="2" t="s">
        <v>255</v>
      </c>
      <c r="C17" s="2" t="s">
        <v>76</v>
      </c>
      <c r="D17" s="2" t="s">
        <v>23</v>
      </c>
      <c r="E17" s="2" t="s">
        <v>55</v>
      </c>
      <c r="F17" s="2" t="s">
        <v>256</v>
      </c>
      <c r="G17" s="2" t="s">
        <v>257</v>
      </c>
      <c r="H17" s="2" t="s">
        <v>258</v>
      </c>
      <c r="I17" s="2" t="s">
        <v>56</v>
      </c>
      <c r="J17" s="2" t="s">
        <v>259</v>
      </c>
      <c r="K17" s="2" t="s">
        <v>260</v>
      </c>
      <c r="L17" s="2" t="s">
        <v>261</v>
      </c>
      <c r="M17" s="2" t="s">
        <v>262</v>
      </c>
      <c r="N17" s="2" t="s">
        <v>263</v>
      </c>
      <c r="O17" s="2" t="s">
        <v>69</v>
      </c>
      <c r="P17" s="2" t="s">
        <v>77</v>
      </c>
    </row>
    <row r="18" spans="1:16" x14ac:dyDescent="0.2">
      <c r="A18" s="2" t="s">
        <v>264</v>
      </c>
      <c r="B18" s="2" t="s">
        <v>265</v>
      </c>
      <c r="C18" s="2" t="s">
        <v>17</v>
      </c>
      <c r="D18" s="2" t="s">
        <v>23</v>
      </c>
      <c r="E18" s="2" t="s">
        <v>55</v>
      </c>
      <c r="F18" s="2" t="s">
        <v>266</v>
      </c>
      <c r="G18" s="2" t="s">
        <v>22</v>
      </c>
      <c r="H18" s="2" t="s">
        <v>267</v>
      </c>
      <c r="I18" s="2" t="s">
        <v>52</v>
      </c>
      <c r="J18" s="2" t="s">
        <v>268</v>
      </c>
      <c r="K18" s="2" t="s">
        <v>269</v>
      </c>
      <c r="L18" s="2" t="s">
        <v>270</v>
      </c>
      <c r="M18" s="2" t="s">
        <v>271</v>
      </c>
      <c r="N18" s="2" t="s">
        <v>272</v>
      </c>
      <c r="O18" s="2" t="s">
        <v>57</v>
      </c>
      <c r="P18" s="2" t="s">
        <v>58</v>
      </c>
    </row>
    <row r="19" spans="1:16" x14ac:dyDescent="0.2">
      <c r="A19" s="2" t="s">
        <v>273</v>
      </c>
      <c r="B19" s="2" t="s">
        <v>274</v>
      </c>
      <c r="C19" s="2" t="s">
        <v>17</v>
      </c>
      <c r="D19" s="2" t="s">
        <v>23</v>
      </c>
      <c r="E19" s="2" t="s">
        <v>55</v>
      </c>
      <c r="F19" s="2" t="s">
        <v>275</v>
      </c>
      <c r="G19" s="2" t="s">
        <v>22</v>
      </c>
      <c r="H19" s="2" t="s">
        <v>276</v>
      </c>
      <c r="I19" s="2" t="s">
        <v>52</v>
      </c>
      <c r="J19" s="2" t="s">
        <v>277</v>
      </c>
      <c r="K19" s="2" t="s">
        <v>278</v>
      </c>
      <c r="L19" s="2" t="s">
        <v>279</v>
      </c>
      <c r="M19" s="2" t="s">
        <v>280</v>
      </c>
      <c r="N19" s="2" t="s">
        <v>281</v>
      </c>
      <c r="O19" s="2" t="s">
        <v>57</v>
      </c>
      <c r="P19" s="2" t="s">
        <v>58</v>
      </c>
    </row>
    <row r="20" spans="1:16" x14ac:dyDescent="0.2">
      <c r="A20" s="2" t="s">
        <v>282</v>
      </c>
      <c r="B20" s="2" t="s">
        <v>283</v>
      </c>
      <c r="C20" s="2" t="s">
        <v>64</v>
      </c>
      <c r="D20" s="2" t="s">
        <v>23</v>
      </c>
      <c r="E20" s="2" t="s">
        <v>55</v>
      </c>
      <c r="F20" s="2" t="s">
        <v>284</v>
      </c>
      <c r="G20" s="2" t="s">
        <v>43</v>
      </c>
      <c r="H20" s="2" t="s">
        <v>285</v>
      </c>
      <c r="I20" s="2" t="s">
        <v>52</v>
      </c>
      <c r="J20" s="2" t="s">
        <v>286</v>
      </c>
      <c r="K20" s="2" t="s">
        <v>287</v>
      </c>
      <c r="L20" s="2" t="s">
        <v>288</v>
      </c>
      <c r="M20" s="2" t="s">
        <v>289</v>
      </c>
      <c r="N20" s="2" t="s">
        <v>290</v>
      </c>
      <c r="O20" s="2" t="s">
        <v>69</v>
      </c>
      <c r="P20" s="2" t="s">
        <v>70</v>
      </c>
    </row>
    <row r="21" spans="1:16" x14ac:dyDescent="0.2">
      <c r="A21" s="2" t="s">
        <v>291</v>
      </c>
      <c r="B21" s="2" t="s">
        <v>292</v>
      </c>
      <c r="C21" s="2" t="s">
        <v>60</v>
      </c>
      <c r="D21" s="2" t="s">
        <v>23</v>
      </c>
      <c r="E21" s="2" t="s">
        <v>55</v>
      </c>
      <c r="F21" s="2" t="s">
        <v>293</v>
      </c>
      <c r="G21" s="2"/>
      <c r="H21" s="2" t="s">
        <v>294</v>
      </c>
      <c r="I21" s="2" t="s">
        <v>56</v>
      </c>
      <c r="J21" s="2" t="s">
        <v>295</v>
      </c>
      <c r="K21" s="2" t="s">
        <v>296</v>
      </c>
      <c r="L21" s="2" t="s">
        <v>297</v>
      </c>
      <c r="M21" s="2"/>
      <c r="N21" s="2" t="s">
        <v>298</v>
      </c>
      <c r="O21" s="2" t="s">
        <v>57</v>
      </c>
      <c r="P21" s="2" t="s">
        <v>61</v>
      </c>
    </row>
    <row r="22" spans="1:16" x14ac:dyDescent="0.2">
      <c r="A22" s="2" t="s">
        <v>299</v>
      </c>
      <c r="B22" s="2" t="s">
        <v>300</v>
      </c>
      <c r="C22" s="2" t="s">
        <v>60</v>
      </c>
      <c r="D22" s="2" t="s">
        <v>23</v>
      </c>
      <c r="E22" s="2" t="s">
        <v>55</v>
      </c>
      <c r="F22" s="2" t="s">
        <v>301</v>
      </c>
      <c r="G22" s="2"/>
      <c r="H22" s="2" t="s">
        <v>302</v>
      </c>
      <c r="I22" s="2" t="s">
        <v>56</v>
      </c>
      <c r="J22" s="2" t="s">
        <v>303</v>
      </c>
      <c r="K22" s="2" t="s">
        <v>304</v>
      </c>
      <c r="L22" s="2" t="s">
        <v>305</v>
      </c>
      <c r="M22" s="2"/>
      <c r="N22" s="2" t="s">
        <v>306</v>
      </c>
      <c r="O22" s="2" t="s">
        <v>57</v>
      </c>
      <c r="P22" s="2" t="s">
        <v>61</v>
      </c>
    </row>
    <row r="23" spans="1:16" x14ac:dyDescent="0.2">
      <c r="A23" s="2" t="s">
        <v>307</v>
      </c>
      <c r="B23" s="2" t="s">
        <v>308</v>
      </c>
      <c r="C23" s="2" t="s">
        <v>309</v>
      </c>
      <c r="D23" s="2" t="s">
        <v>23</v>
      </c>
      <c r="E23" s="2" t="s">
        <v>55</v>
      </c>
      <c r="F23" s="2" t="s">
        <v>310</v>
      </c>
      <c r="G23" s="2" t="s">
        <v>34</v>
      </c>
      <c r="H23" s="2" t="s">
        <v>311</v>
      </c>
      <c r="I23" s="2" t="s">
        <v>52</v>
      </c>
      <c r="J23" s="2" t="s">
        <v>312</v>
      </c>
      <c r="K23" s="2" t="s">
        <v>313</v>
      </c>
      <c r="L23" s="2" t="s">
        <v>314</v>
      </c>
      <c r="M23" s="2" t="s">
        <v>315</v>
      </c>
      <c r="N23" s="2" t="s">
        <v>316</v>
      </c>
      <c r="O23" s="2" t="s">
        <v>57</v>
      </c>
      <c r="P23" s="2" t="s">
        <v>317</v>
      </c>
    </row>
    <row r="24" spans="1:16" x14ac:dyDescent="0.2">
      <c r="A24" s="2" t="s">
        <v>318</v>
      </c>
      <c r="B24" s="2" t="s">
        <v>319</v>
      </c>
      <c r="C24" s="2" t="s">
        <v>320</v>
      </c>
      <c r="D24" s="2" t="s">
        <v>23</v>
      </c>
      <c r="E24" s="2" t="s">
        <v>55</v>
      </c>
      <c r="F24" s="2" t="s">
        <v>321</v>
      </c>
      <c r="G24" s="2" t="s">
        <v>322</v>
      </c>
      <c r="H24" s="2" t="s">
        <v>323</v>
      </c>
      <c r="I24" s="2" t="s">
        <v>52</v>
      </c>
      <c r="J24" s="2" t="s">
        <v>324</v>
      </c>
      <c r="K24" s="2" t="s">
        <v>325</v>
      </c>
      <c r="L24" s="2" t="s">
        <v>326</v>
      </c>
      <c r="M24" s="2" t="s">
        <v>327</v>
      </c>
      <c r="N24" s="2" t="s">
        <v>328</v>
      </c>
      <c r="O24" s="2" t="s">
        <v>329</v>
      </c>
      <c r="P24" s="2" t="s">
        <v>330</v>
      </c>
    </row>
    <row r="25" spans="1:16" x14ac:dyDescent="0.2">
      <c r="A25" s="2" t="s">
        <v>331</v>
      </c>
      <c r="B25" s="2" t="s">
        <v>332</v>
      </c>
      <c r="C25" s="2" t="s">
        <v>20</v>
      </c>
      <c r="D25" s="2" t="s">
        <v>23</v>
      </c>
      <c r="E25" s="2" t="s">
        <v>44</v>
      </c>
      <c r="F25" s="2" t="s">
        <v>333</v>
      </c>
      <c r="G25" s="2" t="s">
        <v>29</v>
      </c>
      <c r="H25" s="2" t="s">
        <v>334</v>
      </c>
      <c r="I25" s="2"/>
      <c r="J25" s="2" t="s">
        <v>335</v>
      </c>
      <c r="K25" s="2" t="s">
        <v>336</v>
      </c>
      <c r="L25" s="2"/>
      <c r="M25" s="2"/>
      <c r="N25" s="2" t="s">
        <v>337</v>
      </c>
      <c r="O25" s="2"/>
      <c r="P25" s="2" t="s">
        <v>21</v>
      </c>
    </row>
    <row r="26" spans="1:16" x14ac:dyDescent="0.2">
      <c r="A26" s="2" t="s">
        <v>338</v>
      </c>
      <c r="B26" s="2" t="s">
        <v>339</v>
      </c>
      <c r="C26" s="2" t="s">
        <v>340</v>
      </c>
      <c r="D26" s="2" t="s">
        <v>23</v>
      </c>
      <c r="E26" s="2" t="s">
        <v>40</v>
      </c>
      <c r="F26" s="2" t="s">
        <v>341</v>
      </c>
      <c r="G26" s="2" t="s">
        <v>16</v>
      </c>
      <c r="H26" s="2" t="s">
        <v>342</v>
      </c>
      <c r="I26" s="2"/>
      <c r="J26" s="2" t="s">
        <v>343</v>
      </c>
      <c r="K26" s="2" t="s">
        <v>344</v>
      </c>
      <c r="L26" s="2"/>
      <c r="M26" s="2"/>
      <c r="N26" s="2"/>
      <c r="O26" s="2"/>
      <c r="P26" s="2"/>
    </row>
    <row r="27" spans="1:16" x14ac:dyDescent="0.2">
      <c r="A27" s="2" t="s">
        <v>345</v>
      </c>
      <c r="B27" s="2" t="s">
        <v>46</v>
      </c>
      <c r="C27" s="2" t="s">
        <v>346</v>
      </c>
      <c r="D27" s="2" t="s">
        <v>23</v>
      </c>
      <c r="E27" s="2" t="s">
        <v>112</v>
      </c>
      <c r="F27" s="2" t="s">
        <v>47</v>
      </c>
      <c r="G27" s="2" t="s">
        <v>42</v>
      </c>
      <c r="H27" s="2" t="s">
        <v>347</v>
      </c>
      <c r="I27" s="2"/>
      <c r="J27" s="2" t="s">
        <v>48</v>
      </c>
      <c r="K27" s="2" t="s">
        <v>348</v>
      </c>
      <c r="L27" s="2"/>
      <c r="M27" s="2"/>
      <c r="N27" s="2" t="s">
        <v>349</v>
      </c>
      <c r="O27" s="2" t="s">
        <v>71</v>
      </c>
      <c r="P27" s="2" t="s">
        <v>49</v>
      </c>
    </row>
    <row r="28" spans="1:16" x14ac:dyDescent="0.2">
      <c r="A28" s="2" t="s">
        <v>36</v>
      </c>
      <c r="B28" s="2" t="s">
        <v>37</v>
      </c>
      <c r="C28" s="2"/>
      <c r="D28" s="2" t="s">
        <v>23</v>
      </c>
      <c r="E28" s="2" t="s">
        <v>112</v>
      </c>
      <c r="F28" s="2" t="s">
        <v>38</v>
      </c>
      <c r="G28" s="2"/>
      <c r="H28" s="2" t="s">
        <v>350</v>
      </c>
      <c r="I28" s="2"/>
      <c r="J28" s="2" t="s">
        <v>39</v>
      </c>
      <c r="K28" s="2" t="s">
        <v>351</v>
      </c>
      <c r="L28" s="2"/>
      <c r="M28" s="2"/>
      <c r="N28" s="2"/>
      <c r="O28" s="2" t="s">
        <v>113</v>
      </c>
      <c r="P28" s="2"/>
    </row>
    <row r="29" spans="1:16" x14ac:dyDescent="0.2">
      <c r="A29" s="2" t="s">
        <v>30</v>
      </c>
      <c r="B29" s="2" t="s">
        <v>31</v>
      </c>
      <c r="C29" s="2"/>
      <c r="D29" s="2" t="s">
        <v>23</v>
      </c>
      <c r="E29" s="2" t="s">
        <v>112</v>
      </c>
      <c r="F29" s="2" t="s">
        <v>32</v>
      </c>
      <c r="G29" s="2"/>
      <c r="H29" s="2" t="s">
        <v>352</v>
      </c>
      <c r="I29" s="2"/>
      <c r="J29" s="2" t="s">
        <v>33</v>
      </c>
      <c r="K29" s="2" t="s">
        <v>353</v>
      </c>
      <c r="L29" s="2"/>
      <c r="M29" s="2"/>
      <c r="N29" s="2"/>
      <c r="O29" s="2" t="s">
        <v>113</v>
      </c>
      <c r="P29" s="2"/>
    </row>
    <row r="30" spans="1:16" x14ac:dyDescent="0.2">
      <c r="A30" s="2" t="s">
        <v>354</v>
      </c>
      <c r="B30" s="2" t="s">
        <v>355</v>
      </c>
      <c r="C30" s="2"/>
      <c r="D30" s="2" t="s">
        <v>23</v>
      </c>
      <c r="E30" s="2" t="s">
        <v>112</v>
      </c>
      <c r="F30" s="2" t="s">
        <v>356</v>
      </c>
      <c r="G30" s="2"/>
      <c r="H30" s="2" t="s">
        <v>357</v>
      </c>
      <c r="I30" s="2"/>
      <c r="J30" s="2" t="s">
        <v>358</v>
      </c>
      <c r="K30" s="2" t="s">
        <v>359</v>
      </c>
      <c r="L30" s="2"/>
      <c r="M30" s="2"/>
      <c r="N30" s="2"/>
      <c r="O30" s="2" t="s">
        <v>113</v>
      </c>
      <c r="P30" s="2"/>
    </row>
  </sheetData>
  <printOptions horizontalCentered="1"/>
  <pageMargins left="0.3" right="0.3" top="0.61" bottom="0.37" header="0.1" footer="0.1"/>
  <pageSetup paperSize="9" pageOrder="overThenDown" orientation="portrait" useFirstPageNumber="1" horizontalDpi="300" verticalDpi="300"/>
  <headerFooter alignWithMargins="0">
    <oddHeader>&amp;P</oddHeader>
    <oddFooter>&amp;F</oddFooter>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5F806-0EAB-4CC4-B735-EF2845EB43B6}">
  <dimension ref="A1:R31"/>
  <sheetViews>
    <sheetView tabSelected="1" zoomScale="115" zoomScaleNormal="115" workbookViewId="0">
      <pane xSplit="3" ySplit="2" topLeftCell="D3" activePane="bottomRight" state="frozen"/>
      <selection pane="topRight" activeCell="D1" sqref="D1"/>
      <selection pane="bottomLeft" activeCell="A3" sqref="A3"/>
      <selection pane="bottomRight" activeCell="D3" sqref="D3"/>
    </sheetView>
  </sheetViews>
  <sheetFormatPr defaultRowHeight="12.75" x14ac:dyDescent="0.2"/>
  <cols>
    <col min="1" max="1" width="50.7109375" customWidth="1"/>
    <col min="2" max="2" width="20.7109375" customWidth="1"/>
    <col min="3" max="5" width="8.28515625" customWidth="1"/>
    <col min="6" max="15" width="13.28515625" customWidth="1"/>
    <col min="16" max="17" width="13.42578125" customWidth="1"/>
    <col min="18" max="18" width="13.28515625" customWidth="1"/>
  </cols>
  <sheetData>
    <row r="1" spans="1:18" x14ac:dyDescent="0.2">
      <c r="F1" s="3" t="s">
        <v>95</v>
      </c>
      <c r="G1">
        <v>1</v>
      </c>
      <c r="H1">
        <v>1</v>
      </c>
      <c r="I1">
        <v>2</v>
      </c>
      <c r="J1">
        <v>1</v>
      </c>
      <c r="K1">
        <v>2</v>
      </c>
      <c r="L1">
        <v>1</v>
      </c>
      <c r="M1">
        <v>1</v>
      </c>
      <c r="N1">
        <v>1</v>
      </c>
      <c r="P1" s="6" t="s">
        <v>106</v>
      </c>
      <c r="Q1">
        <v>7.5</v>
      </c>
    </row>
    <row r="2" spans="1:18" ht="25.5" x14ac:dyDescent="0.2">
      <c r="A2" s="3" t="s">
        <v>0</v>
      </c>
      <c r="B2" s="3" t="s">
        <v>1</v>
      </c>
      <c r="C2" s="3" t="s">
        <v>3</v>
      </c>
      <c r="D2" s="3" t="s">
        <v>9</v>
      </c>
      <c r="E2" s="3" t="s">
        <v>10</v>
      </c>
      <c r="F2" s="3" t="s">
        <v>103</v>
      </c>
      <c r="G2" s="3" t="s">
        <v>83</v>
      </c>
      <c r="H2" s="3" t="s">
        <v>84</v>
      </c>
      <c r="I2" s="3" t="s">
        <v>86</v>
      </c>
      <c r="J2" s="3" t="s">
        <v>85</v>
      </c>
      <c r="K2" s="3" t="s">
        <v>87</v>
      </c>
      <c r="L2" s="3" t="s">
        <v>88</v>
      </c>
      <c r="M2" s="3" t="s">
        <v>89</v>
      </c>
      <c r="N2" s="3" t="s">
        <v>90</v>
      </c>
      <c r="O2" s="3" t="s">
        <v>82</v>
      </c>
      <c r="P2" s="10" t="s">
        <v>104</v>
      </c>
      <c r="Q2" s="10" t="s">
        <v>105</v>
      </c>
      <c r="R2" s="10" t="s">
        <v>111</v>
      </c>
    </row>
    <row r="3" spans="1:18" x14ac:dyDescent="0.2">
      <c r="A3" t="s">
        <v>148</v>
      </c>
      <c r="B3" t="s">
        <v>149</v>
      </c>
      <c r="C3" s="5" t="s">
        <v>23</v>
      </c>
      <c r="D3" s="5" t="s">
        <v>153</v>
      </c>
      <c r="E3" s="14" t="s">
        <v>368</v>
      </c>
      <c r="F3">
        <f>Table2[[#This Row],[QE score]]</f>
        <v>9</v>
      </c>
      <c r="G3" t="s">
        <v>92</v>
      </c>
      <c r="H3" t="s">
        <v>92</v>
      </c>
      <c r="I3" t="s">
        <v>93</v>
      </c>
      <c r="J3" t="s">
        <v>92</v>
      </c>
      <c r="K3" t="s">
        <v>92</v>
      </c>
      <c r="L3" t="s">
        <v>92</v>
      </c>
      <c r="M3" t="s">
        <v>92</v>
      </c>
      <c r="N3" t="s">
        <v>92</v>
      </c>
      <c r="O3">
        <f>IF(Table2[[#This Row],[QE1: related]]="full",G$1,IF(Table2[[#This Row],[QE1: related]]="partial",G$1*0.5,0))+IF(Table2[[#This Row],[QE2: method]]="full",H$1,IF(Table2[[#This Row],[QE2: method]]="partial",H$1*0.5,0))+IF(Table2[[#This Row],[QE3: l+m]]="full",I$1,IF(Table2[[#This Row],[QE3: l+m]]="partial",I$1*0.5,0))+IF(Table2[[#This Row],[QE4: hw+sw]]="full",J$1,IF(Table2[[#This Row],[QE4: hw+sw]]="partial",J$1*0.5,0))+IF(Table2[[#This Row],[QE5: long]]="full",K$1,IF(Table2[[#This Row],[QE5: long]]="partial",K$1*0.5,0))+IF(Table2[[#This Row],[QE6: others]]="full",L$1,IF(Table2[[#This Row],[QE6: others]]="partial",L$1*0.5,0))+IF(Table2[[#This Row],[QE7: public]]="full",M$1,IF(Table2[[#This Row],[QE7: public]]="partial",M$1*0.5,0))+IF(Table2[[#This Row],[QE8: results]]="full",N$1,IF(Table2[[#This Row],[QE8: results]]="partial",N$1*0.5,0))</f>
        <v>9</v>
      </c>
      <c r="P3" t="str">
        <f>IF(OR(Table2[[#This Row],[QE2: method]]="none",Table2[[#This Row],[QE3: l+m]]="none",Table2[[#This Row],[QE5: long]]="none",Table2[[#This Row],[QE8: results]]="none"),"reject","ok")</f>
        <v>ok</v>
      </c>
      <c r="Q3" s="5" t="str">
        <f>IF(Table2[[#This Row],[QE score]]&lt;=$Q$1,"reject","ok")</f>
        <v>ok</v>
      </c>
      <c r="R3" s="5" t="str">
        <f>IF(AND(Table2[[#This Row],[QE R1:
QE2/3/5/8]] &lt;&gt; "reject", Table2[[#This Row],[QE R2:
cut-off]] &lt;&gt; "reject"),"yes","no")</f>
        <v>yes</v>
      </c>
    </row>
    <row r="4" spans="1:18" x14ac:dyDescent="0.2">
      <c r="A4" t="s">
        <v>236</v>
      </c>
      <c r="B4" t="s">
        <v>237</v>
      </c>
      <c r="C4" s="5" t="s">
        <v>23</v>
      </c>
      <c r="D4" s="5" t="s">
        <v>240</v>
      </c>
      <c r="E4" s="14" t="s">
        <v>377</v>
      </c>
      <c r="F4">
        <f>Table2[[#This Row],[QE score]]</f>
        <v>8.5</v>
      </c>
      <c r="G4" t="s">
        <v>93</v>
      </c>
      <c r="H4" t="s">
        <v>92</v>
      </c>
      <c r="I4" t="s">
        <v>92</v>
      </c>
      <c r="J4" t="s">
        <v>92</v>
      </c>
      <c r="K4" t="s">
        <v>92</v>
      </c>
      <c r="L4" t="s">
        <v>92</v>
      </c>
      <c r="M4" t="s">
        <v>94</v>
      </c>
      <c r="N4" t="s">
        <v>92</v>
      </c>
      <c r="O4">
        <f>IF(Table2[[#This Row],[QE1: related]]="full",G$1,IF(Table2[[#This Row],[QE1: related]]="partial",G$1*0.5,0))+IF(Table2[[#This Row],[QE2: method]]="full",H$1,IF(Table2[[#This Row],[QE2: method]]="partial",H$1*0.5,0))+IF(Table2[[#This Row],[QE3: l+m]]="full",I$1,IF(Table2[[#This Row],[QE3: l+m]]="partial",I$1*0.5,0))+IF(Table2[[#This Row],[QE4: hw+sw]]="full",J$1,IF(Table2[[#This Row],[QE4: hw+sw]]="partial",J$1*0.5,0))+IF(Table2[[#This Row],[QE5: long]]="full",K$1,IF(Table2[[#This Row],[QE5: long]]="partial",K$1*0.5,0))+IF(Table2[[#This Row],[QE6: others]]="full",L$1,IF(Table2[[#This Row],[QE6: others]]="partial",L$1*0.5,0))+IF(Table2[[#This Row],[QE7: public]]="full",M$1,IF(Table2[[#This Row],[QE7: public]]="partial",M$1*0.5,0))+IF(Table2[[#This Row],[QE8: results]]="full",N$1,IF(Table2[[#This Row],[QE8: results]]="partial",N$1*0.5,0))</f>
        <v>8.5</v>
      </c>
      <c r="P4" t="str">
        <f>IF(OR(Table2[[#This Row],[QE2: method]]="none",Table2[[#This Row],[QE3: l+m]]="none",Table2[[#This Row],[QE5: long]]="none",Table2[[#This Row],[QE8: results]]="none"),"reject","ok")</f>
        <v>ok</v>
      </c>
      <c r="Q4" s="5" t="str">
        <f>IF(Table2[[#This Row],[QE score]]&lt;=$Q$1,"reject","ok")</f>
        <v>ok</v>
      </c>
      <c r="R4" s="5" t="str">
        <f>IF(AND(Table2[[#This Row],[QE R1:
QE2/3/5/8]] &lt;&gt; "reject", Table2[[#This Row],[QE R2:
cut-off]] &lt;&gt; "reject"),"yes","no")</f>
        <v>yes</v>
      </c>
    </row>
    <row r="5" spans="1:18" x14ac:dyDescent="0.2">
      <c r="A5" t="s">
        <v>318</v>
      </c>
      <c r="B5" t="s">
        <v>319</v>
      </c>
      <c r="C5" s="5" t="s">
        <v>23</v>
      </c>
      <c r="D5" s="5" t="s">
        <v>324</v>
      </c>
      <c r="E5" s="14" t="s">
        <v>382</v>
      </c>
      <c r="F5">
        <f>Table2[[#This Row],[QE score]]</f>
        <v>9</v>
      </c>
      <c r="G5" t="s">
        <v>93</v>
      </c>
      <c r="H5" t="s">
        <v>92</v>
      </c>
      <c r="I5" t="s">
        <v>92</v>
      </c>
      <c r="J5" t="s">
        <v>93</v>
      </c>
      <c r="K5" t="s">
        <v>92</v>
      </c>
      <c r="L5" t="s">
        <v>92</v>
      </c>
      <c r="M5" t="s">
        <v>92</v>
      </c>
      <c r="N5" t="s">
        <v>92</v>
      </c>
      <c r="O5">
        <f>IF(Table2[[#This Row],[QE1: related]]="full",G$1,IF(Table2[[#This Row],[QE1: related]]="partial",G$1*0.5,0))+IF(Table2[[#This Row],[QE2: method]]="full",H$1,IF(Table2[[#This Row],[QE2: method]]="partial",H$1*0.5,0))+IF(Table2[[#This Row],[QE3: l+m]]="full",I$1,IF(Table2[[#This Row],[QE3: l+m]]="partial",I$1*0.5,0))+IF(Table2[[#This Row],[QE4: hw+sw]]="full",J$1,IF(Table2[[#This Row],[QE4: hw+sw]]="partial",J$1*0.5,0))+IF(Table2[[#This Row],[QE5: long]]="full",K$1,IF(Table2[[#This Row],[QE5: long]]="partial",K$1*0.5,0))+IF(Table2[[#This Row],[QE6: others]]="full",L$1,IF(Table2[[#This Row],[QE6: others]]="partial",L$1*0.5,0))+IF(Table2[[#This Row],[QE7: public]]="full",M$1,IF(Table2[[#This Row],[QE7: public]]="partial",M$1*0.5,0))+IF(Table2[[#This Row],[QE8: results]]="full",N$1,IF(Table2[[#This Row],[QE8: results]]="partial",N$1*0.5,0))</f>
        <v>9</v>
      </c>
      <c r="P5" t="str">
        <f>IF(OR(Table2[[#This Row],[QE2: method]]="none",Table2[[#This Row],[QE3: l+m]]="none",Table2[[#This Row],[QE5: long]]="none",Table2[[#This Row],[QE8: results]]="none"),"reject","ok")</f>
        <v>ok</v>
      </c>
      <c r="Q5" s="5" t="str">
        <f>IF(Table2[[#This Row],[QE score]]&lt;=$Q$1,"reject","ok")</f>
        <v>ok</v>
      </c>
      <c r="R5" s="5" t="str">
        <f>IF(AND(Table2[[#This Row],[QE R1:
QE2/3/5/8]] &lt;&gt; "reject", Table2[[#This Row],[QE R2:
cut-off]] &lt;&gt; "reject"),"yes","no")</f>
        <v>yes</v>
      </c>
    </row>
    <row r="6" spans="1:18" x14ac:dyDescent="0.2">
      <c r="A6" t="s">
        <v>299</v>
      </c>
      <c r="B6" t="s">
        <v>300</v>
      </c>
      <c r="C6" s="5" t="s">
        <v>23</v>
      </c>
      <c r="D6" s="5" t="s">
        <v>303</v>
      </c>
      <c r="E6" s="14" t="s">
        <v>361</v>
      </c>
      <c r="F6">
        <f>Table2[[#This Row],[QE score]]</f>
        <v>8.5</v>
      </c>
      <c r="G6" t="s">
        <v>92</v>
      </c>
      <c r="H6" t="s">
        <v>92</v>
      </c>
      <c r="I6" t="s">
        <v>93</v>
      </c>
      <c r="J6" t="s">
        <v>93</v>
      </c>
      <c r="K6" t="s">
        <v>92</v>
      </c>
      <c r="L6" t="s">
        <v>92</v>
      </c>
      <c r="M6" t="s">
        <v>92</v>
      </c>
      <c r="N6" t="s">
        <v>92</v>
      </c>
      <c r="O6">
        <f>IF(Table2[[#This Row],[QE1: related]]="full",G$1,IF(Table2[[#This Row],[QE1: related]]="partial",G$1*0.5,0))+IF(Table2[[#This Row],[QE2: method]]="full",H$1,IF(Table2[[#This Row],[QE2: method]]="partial",H$1*0.5,0))+IF(Table2[[#This Row],[QE3: l+m]]="full",I$1,IF(Table2[[#This Row],[QE3: l+m]]="partial",I$1*0.5,0))+IF(Table2[[#This Row],[QE4: hw+sw]]="full",J$1,IF(Table2[[#This Row],[QE4: hw+sw]]="partial",J$1*0.5,0))+IF(Table2[[#This Row],[QE5: long]]="full",K$1,IF(Table2[[#This Row],[QE5: long]]="partial",K$1*0.5,0))+IF(Table2[[#This Row],[QE6: others]]="full",L$1,IF(Table2[[#This Row],[QE6: others]]="partial",L$1*0.5,0))+IF(Table2[[#This Row],[QE7: public]]="full",M$1,IF(Table2[[#This Row],[QE7: public]]="partial",M$1*0.5,0))+IF(Table2[[#This Row],[QE8: results]]="full",N$1,IF(Table2[[#This Row],[QE8: results]]="partial",N$1*0.5,0))</f>
        <v>8.5</v>
      </c>
      <c r="P6" t="str">
        <f>IF(OR(Table2[[#This Row],[QE2: method]]="none",Table2[[#This Row],[QE3: l+m]]="none",Table2[[#This Row],[QE5: long]]="none",Table2[[#This Row],[QE8: results]]="none"),"reject","ok")</f>
        <v>ok</v>
      </c>
      <c r="Q6" s="5" t="str">
        <f>IF(Table2[[#This Row],[QE score]]&lt;=$Q$1,"reject","ok")</f>
        <v>ok</v>
      </c>
      <c r="R6" s="5" t="str">
        <f>IF(AND(Table2[[#This Row],[QE R1:
QE2/3/5/8]] &lt;&gt; "reject", Table2[[#This Row],[QE R2:
cut-off]] &lt;&gt; "reject"),"yes","no")</f>
        <v>yes</v>
      </c>
    </row>
    <row r="7" spans="1:18" x14ac:dyDescent="0.2">
      <c r="A7" t="s">
        <v>282</v>
      </c>
      <c r="B7" t="s">
        <v>283</v>
      </c>
      <c r="C7" s="5" t="s">
        <v>23</v>
      </c>
      <c r="D7" s="5" t="s">
        <v>286</v>
      </c>
      <c r="E7" s="14" t="s">
        <v>362</v>
      </c>
      <c r="F7">
        <f>Table2[[#This Row],[QE score]]</f>
        <v>8.5</v>
      </c>
      <c r="G7" t="s">
        <v>93</v>
      </c>
      <c r="H7" t="s">
        <v>93</v>
      </c>
      <c r="I7" t="s">
        <v>92</v>
      </c>
      <c r="J7" t="s">
        <v>93</v>
      </c>
      <c r="K7" t="s">
        <v>92</v>
      </c>
      <c r="L7" t="s">
        <v>92</v>
      </c>
      <c r="M7" t="s">
        <v>92</v>
      </c>
      <c r="N7" t="s">
        <v>92</v>
      </c>
      <c r="O7">
        <f>IF(Table2[[#This Row],[QE1: related]]="full",G$1,IF(Table2[[#This Row],[QE1: related]]="partial",G$1*0.5,0))+IF(Table2[[#This Row],[QE2: method]]="full",H$1,IF(Table2[[#This Row],[QE2: method]]="partial",H$1*0.5,0))+IF(Table2[[#This Row],[QE3: l+m]]="full",I$1,IF(Table2[[#This Row],[QE3: l+m]]="partial",I$1*0.5,0))+IF(Table2[[#This Row],[QE4: hw+sw]]="full",J$1,IF(Table2[[#This Row],[QE4: hw+sw]]="partial",J$1*0.5,0))+IF(Table2[[#This Row],[QE5: long]]="full",K$1,IF(Table2[[#This Row],[QE5: long]]="partial",K$1*0.5,0))+IF(Table2[[#This Row],[QE6: others]]="full",L$1,IF(Table2[[#This Row],[QE6: others]]="partial",L$1*0.5,0))+IF(Table2[[#This Row],[QE7: public]]="full",M$1,IF(Table2[[#This Row],[QE7: public]]="partial",M$1*0.5,0))+IF(Table2[[#This Row],[QE8: results]]="full",N$1,IF(Table2[[#This Row],[QE8: results]]="partial",N$1*0.5,0))</f>
        <v>8.5</v>
      </c>
      <c r="P7" t="str">
        <f>IF(OR(Table2[[#This Row],[QE2: method]]="none",Table2[[#This Row],[QE3: l+m]]="none",Table2[[#This Row],[QE5: long]]="none",Table2[[#This Row],[QE8: results]]="none"),"reject","ok")</f>
        <v>ok</v>
      </c>
      <c r="Q7" s="5" t="str">
        <f>IF(Table2[[#This Row],[QE score]]&lt;=$Q$1,"reject","ok")</f>
        <v>ok</v>
      </c>
      <c r="R7" s="5" t="str">
        <f>IF(AND(Table2[[#This Row],[QE R1:
QE2/3/5/8]] &lt;&gt; "reject", Table2[[#This Row],[QE R2:
cut-off]] &lt;&gt; "reject"),"yes","no")</f>
        <v>yes</v>
      </c>
    </row>
    <row r="8" spans="1:18" x14ac:dyDescent="0.2">
      <c r="A8" t="s">
        <v>130</v>
      </c>
      <c r="B8" t="s">
        <v>131</v>
      </c>
      <c r="C8" s="5" t="s">
        <v>23</v>
      </c>
      <c r="D8" s="5" t="s">
        <v>135</v>
      </c>
      <c r="E8" s="14" t="s">
        <v>365</v>
      </c>
      <c r="F8">
        <f>Table2[[#This Row],[QE score]]</f>
        <v>8.5</v>
      </c>
      <c r="G8" t="s">
        <v>93</v>
      </c>
      <c r="H8" t="s">
        <v>92</v>
      </c>
      <c r="I8" t="s">
        <v>93</v>
      </c>
      <c r="J8" t="s">
        <v>92</v>
      </c>
      <c r="K8" t="s">
        <v>92</v>
      </c>
      <c r="L8" t="s">
        <v>92</v>
      </c>
      <c r="M8" t="s">
        <v>92</v>
      </c>
      <c r="N8" t="s">
        <v>92</v>
      </c>
      <c r="O8">
        <f>IF(Table2[[#This Row],[QE1: related]]="full",G$1,IF(Table2[[#This Row],[QE1: related]]="partial",G$1*0.5,0))+IF(Table2[[#This Row],[QE2: method]]="full",H$1,IF(Table2[[#This Row],[QE2: method]]="partial",H$1*0.5,0))+IF(Table2[[#This Row],[QE3: l+m]]="full",I$1,IF(Table2[[#This Row],[QE3: l+m]]="partial",I$1*0.5,0))+IF(Table2[[#This Row],[QE4: hw+sw]]="full",J$1,IF(Table2[[#This Row],[QE4: hw+sw]]="partial",J$1*0.5,0))+IF(Table2[[#This Row],[QE5: long]]="full",K$1,IF(Table2[[#This Row],[QE5: long]]="partial",K$1*0.5,0))+IF(Table2[[#This Row],[QE6: others]]="full",L$1,IF(Table2[[#This Row],[QE6: others]]="partial",L$1*0.5,0))+IF(Table2[[#This Row],[QE7: public]]="full",M$1,IF(Table2[[#This Row],[QE7: public]]="partial",M$1*0.5,0))+IF(Table2[[#This Row],[QE8: results]]="full",N$1,IF(Table2[[#This Row],[QE8: results]]="partial",N$1*0.5,0))</f>
        <v>8.5</v>
      </c>
      <c r="P8" t="str">
        <f>IF(OR(Table2[[#This Row],[QE2: method]]="none",Table2[[#This Row],[QE3: l+m]]="none",Table2[[#This Row],[QE5: long]]="none",Table2[[#This Row],[QE8: results]]="none"),"reject","ok")</f>
        <v>ok</v>
      </c>
      <c r="Q8" s="5" t="str">
        <f>IF(Table2[[#This Row],[QE score]]&lt;=$Q$1,"reject","ok")</f>
        <v>ok</v>
      </c>
      <c r="R8" s="5" t="str">
        <f>IF(AND(Table2[[#This Row],[QE R1:
QE2/3/5/8]] &lt;&gt; "reject", Table2[[#This Row],[QE R2:
cut-off]] &lt;&gt; "reject"),"yes","no")</f>
        <v>yes</v>
      </c>
    </row>
    <row r="9" spans="1:18" x14ac:dyDescent="0.2">
      <c r="A9" t="s">
        <v>192</v>
      </c>
      <c r="B9" t="s">
        <v>193</v>
      </c>
      <c r="C9" s="5" t="s">
        <v>23</v>
      </c>
      <c r="D9" s="5" t="s">
        <v>196</v>
      </c>
      <c r="E9" s="14" t="s">
        <v>372</v>
      </c>
      <c r="F9">
        <f>Table2[[#This Row],[QE score]]</f>
        <v>8</v>
      </c>
      <c r="G9" t="s">
        <v>92</v>
      </c>
      <c r="H9" t="s">
        <v>92</v>
      </c>
      <c r="I9" t="s">
        <v>92</v>
      </c>
      <c r="J9" t="s">
        <v>93</v>
      </c>
      <c r="K9" t="s">
        <v>92</v>
      </c>
      <c r="L9" t="s">
        <v>92</v>
      </c>
      <c r="M9" t="s">
        <v>94</v>
      </c>
      <c r="N9" t="s">
        <v>93</v>
      </c>
      <c r="O9">
        <f>IF(Table2[[#This Row],[QE1: related]]="full",G$1,IF(Table2[[#This Row],[QE1: related]]="partial",G$1*0.5,0))+IF(Table2[[#This Row],[QE2: method]]="full",H$1,IF(Table2[[#This Row],[QE2: method]]="partial",H$1*0.5,0))+IF(Table2[[#This Row],[QE3: l+m]]="full",I$1,IF(Table2[[#This Row],[QE3: l+m]]="partial",I$1*0.5,0))+IF(Table2[[#This Row],[QE4: hw+sw]]="full",J$1,IF(Table2[[#This Row],[QE4: hw+sw]]="partial",J$1*0.5,0))+IF(Table2[[#This Row],[QE5: long]]="full",K$1,IF(Table2[[#This Row],[QE5: long]]="partial",K$1*0.5,0))+IF(Table2[[#This Row],[QE6: others]]="full",L$1,IF(Table2[[#This Row],[QE6: others]]="partial",L$1*0.5,0))+IF(Table2[[#This Row],[QE7: public]]="full",M$1,IF(Table2[[#This Row],[QE7: public]]="partial",M$1*0.5,0))+IF(Table2[[#This Row],[QE8: results]]="full",N$1,IF(Table2[[#This Row],[QE8: results]]="partial",N$1*0.5,0))</f>
        <v>8</v>
      </c>
      <c r="P9" t="str">
        <f>IF(OR(Table2[[#This Row],[QE2: method]]="none",Table2[[#This Row],[QE3: l+m]]="none",Table2[[#This Row],[QE5: long]]="none",Table2[[#This Row],[QE8: results]]="none"),"reject","ok")</f>
        <v>ok</v>
      </c>
      <c r="Q9" s="5" t="str">
        <f>IF(Table2[[#This Row],[QE score]]&lt;=$Q$1,"reject","ok")</f>
        <v>ok</v>
      </c>
      <c r="R9" s="5" t="str">
        <f>IF(AND(Table2[[#This Row],[QE R1:
QE2/3/5/8]] &lt;&gt; "reject", Table2[[#This Row],[QE R2:
cut-off]] &lt;&gt; "reject"),"yes","no")</f>
        <v>yes</v>
      </c>
    </row>
    <row r="10" spans="1:18" x14ac:dyDescent="0.2">
      <c r="A10" t="s">
        <v>30</v>
      </c>
      <c r="B10" t="s">
        <v>31</v>
      </c>
      <c r="C10" s="5" t="s">
        <v>23</v>
      </c>
      <c r="D10" s="5" t="s">
        <v>33</v>
      </c>
      <c r="E10" s="14" t="s">
        <v>353</v>
      </c>
      <c r="F10">
        <f>Table2[[#This Row],[QE score]]</f>
        <v>8.5</v>
      </c>
      <c r="G10" t="s">
        <v>93</v>
      </c>
      <c r="H10" t="s">
        <v>92</v>
      </c>
      <c r="I10" t="s">
        <v>92</v>
      </c>
      <c r="J10" t="s">
        <v>93</v>
      </c>
      <c r="K10" t="s">
        <v>92</v>
      </c>
      <c r="L10" t="s">
        <v>92</v>
      </c>
      <c r="M10" t="s">
        <v>92</v>
      </c>
      <c r="N10" t="s">
        <v>93</v>
      </c>
      <c r="O10">
        <f>IF(Table2[[#This Row],[QE1: related]]="full",G$1,IF(Table2[[#This Row],[QE1: related]]="partial",G$1*0.5,0))+IF(Table2[[#This Row],[QE2: method]]="full",H$1,IF(Table2[[#This Row],[QE2: method]]="partial",H$1*0.5,0))+IF(Table2[[#This Row],[QE3: l+m]]="full",I$1,IF(Table2[[#This Row],[QE3: l+m]]="partial",I$1*0.5,0))+IF(Table2[[#This Row],[QE4: hw+sw]]="full",J$1,IF(Table2[[#This Row],[QE4: hw+sw]]="partial",J$1*0.5,0))+IF(Table2[[#This Row],[QE5: long]]="full",K$1,IF(Table2[[#This Row],[QE5: long]]="partial",K$1*0.5,0))+IF(Table2[[#This Row],[QE6: others]]="full",L$1,IF(Table2[[#This Row],[QE6: others]]="partial",L$1*0.5,0))+IF(Table2[[#This Row],[QE7: public]]="full",M$1,IF(Table2[[#This Row],[QE7: public]]="partial",M$1*0.5,0))+IF(Table2[[#This Row],[QE8: results]]="full",N$1,IF(Table2[[#This Row],[QE8: results]]="partial",N$1*0.5,0))</f>
        <v>8.5</v>
      </c>
      <c r="P10" t="str">
        <f>IF(OR(Table2[[#This Row],[QE2: method]]="none",Table2[[#This Row],[QE3: l+m]]="none",Table2[[#This Row],[QE5: long]]="none",Table2[[#This Row],[QE8: results]]="none"),"reject","ok")</f>
        <v>ok</v>
      </c>
      <c r="Q10" s="5" t="str">
        <f>IF(Table2[[#This Row],[QE score]]&lt;=$Q$1,"reject","ok")</f>
        <v>ok</v>
      </c>
      <c r="R10" s="5" t="str">
        <f>IF(AND(Table2[[#This Row],[QE R1:
QE2/3/5/8]] &lt;&gt; "reject", Table2[[#This Row],[QE R2:
cut-off]] &lt;&gt; "reject"),"yes","no")</f>
        <v>yes</v>
      </c>
    </row>
    <row r="11" spans="1:18" x14ac:dyDescent="0.2">
      <c r="A11" t="s">
        <v>307</v>
      </c>
      <c r="B11" t="s">
        <v>308</v>
      </c>
      <c r="C11" s="5" t="s">
        <v>23</v>
      </c>
      <c r="D11" s="5" t="s">
        <v>312</v>
      </c>
      <c r="E11" s="14" t="s">
        <v>360</v>
      </c>
      <c r="F11">
        <f>Table2[[#This Row],[QE score]]</f>
        <v>8.5</v>
      </c>
      <c r="G11" t="s">
        <v>93</v>
      </c>
      <c r="H11" t="s">
        <v>92</v>
      </c>
      <c r="I11" t="s">
        <v>93</v>
      </c>
      <c r="J11" t="s">
        <v>92</v>
      </c>
      <c r="K11" t="s">
        <v>92</v>
      </c>
      <c r="L11" t="s">
        <v>92</v>
      </c>
      <c r="M11" t="s">
        <v>92</v>
      </c>
      <c r="N11" t="s">
        <v>92</v>
      </c>
      <c r="O11">
        <f>IF(Table2[[#This Row],[QE1: related]]="full",G$1,IF(Table2[[#This Row],[QE1: related]]="partial",G$1*0.5,0))+IF(Table2[[#This Row],[QE2: method]]="full",H$1,IF(Table2[[#This Row],[QE2: method]]="partial",H$1*0.5,0))+IF(Table2[[#This Row],[QE3: l+m]]="full",I$1,IF(Table2[[#This Row],[QE3: l+m]]="partial",I$1*0.5,0))+IF(Table2[[#This Row],[QE4: hw+sw]]="full",J$1,IF(Table2[[#This Row],[QE4: hw+sw]]="partial",J$1*0.5,0))+IF(Table2[[#This Row],[QE5: long]]="full",K$1,IF(Table2[[#This Row],[QE5: long]]="partial",K$1*0.5,0))+IF(Table2[[#This Row],[QE6: others]]="full",L$1,IF(Table2[[#This Row],[QE6: others]]="partial",L$1*0.5,0))+IF(Table2[[#This Row],[QE7: public]]="full",M$1,IF(Table2[[#This Row],[QE7: public]]="partial",M$1*0.5,0))+IF(Table2[[#This Row],[QE8: results]]="full",N$1,IF(Table2[[#This Row],[QE8: results]]="partial",N$1*0.5,0))</f>
        <v>8.5</v>
      </c>
      <c r="P11" t="str">
        <f>IF(OR(Table2[[#This Row],[QE2: method]]="none",Table2[[#This Row],[QE3: l+m]]="none",Table2[[#This Row],[QE5: long]]="none",Table2[[#This Row],[QE8: results]]="none"),"reject","ok")</f>
        <v>ok</v>
      </c>
      <c r="Q11" s="5" t="str">
        <f>IF(Table2[[#This Row],[QE score]]&lt;=$Q$1,"reject","ok")</f>
        <v>ok</v>
      </c>
      <c r="R11" s="5" t="str">
        <f>IF(AND(Table2[[#This Row],[QE R1:
QE2/3/5/8]] &lt;&gt; "reject", Table2[[#This Row],[QE R2:
cut-off]] &lt;&gt; "reject"),"yes","no")</f>
        <v>yes</v>
      </c>
    </row>
    <row r="12" spans="1:18" x14ac:dyDescent="0.2">
      <c r="A12" t="s">
        <v>354</v>
      </c>
      <c r="B12" t="s">
        <v>355</v>
      </c>
      <c r="C12" s="5" t="s">
        <v>23</v>
      </c>
      <c r="D12" s="5" t="s">
        <v>358</v>
      </c>
      <c r="E12" s="14" t="s">
        <v>359</v>
      </c>
      <c r="F12">
        <f>Table2[[#This Row],[QE score]]</f>
        <v>8</v>
      </c>
      <c r="G12" t="s">
        <v>92</v>
      </c>
      <c r="H12" t="s">
        <v>92</v>
      </c>
      <c r="I12" t="s">
        <v>93</v>
      </c>
      <c r="J12" t="s">
        <v>92</v>
      </c>
      <c r="K12" t="s">
        <v>92</v>
      </c>
      <c r="L12" t="s">
        <v>92</v>
      </c>
      <c r="M12" t="s">
        <v>94</v>
      </c>
      <c r="N12" t="s">
        <v>92</v>
      </c>
      <c r="O12">
        <f>IF(Table2[[#This Row],[QE1: related]]="full",G$1,IF(Table2[[#This Row],[QE1: related]]="partial",G$1*0.5,0))+IF(Table2[[#This Row],[QE2: method]]="full",H$1,IF(Table2[[#This Row],[QE2: method]]="partial",H$1*0.5,0))+IF(Table2[[#This Row],[QE3: l+m]]="full",I$1,IF(Table2[[#This Row],[QE3: l+m]]="partial",I$1*0.5,0))+IF(Table2[[#This Row],[QE4: hw+sw]]="full",J$1,IF(Table2[[#This Row],[QE4: hw+sw]]="partial",J$1*0.5,0))+IF(Table2[[#This Row],[QE5: long]]="full",K$1,IF(Table2[[#This Row],[QE5: long]]="partial",K$1*0.5,0))+IF(Table2[[#This Row],[QE6: others]]="full",L$1,IF(Table2[[#This Row],[QE6: others]]="partial",L$1*0.5,0))+IF(Table2[[#This Row],[QE7: public]]="full",M$1,IF(Table2[[#This Row],[QE7: public]]="partial",M$1*0.5,0))+IF(Table2[[#This Row],[QE8: results]]="full",N$1,IF(Table2[[#This Row],[QE8: results]]="partial",N$1*0.5,0))</f>
        <v>8</v>
      </c>
      <c r="P12" t="str">
        <f>IF(OR(Table2[[#This Row],[QE2: method]]="none",Table2[[#This Row],[QE3: l+m]]="none",Table2[[#This Row],[QE5: long]]="none",Table2[[#This Row],[QE8: results]]="none"),"reject","ok")</f>
        <v>ok</v>
      </c>
      <c r="Q12" s="5" t="str">
        <f>IF(Table2[[#This Row],[QE score]]&lt;=$Q$1,"reject","ok")</f>
        <v>ok</v>
      </c>
      <c r="R12" s="5" t="str">
        <f>IF(AND(Table2[[#This Row],[QE R1:
QE2/3/5/8]] &lt;&gt; "reject", Table2[[#This Row],[QE R2:
cut-off]] &lt;&gt; "reject"),"yes","no")</f>
        <v>yes</v>
      </c>
    </row>
    <row r="13" spans="1:18" x14ac:dyDescent="0.2">
      <c r="A13" t="s">
        <v>273</v>
      </c>
      <c r="B13" t="s">
        <v>274</v>
      </c>
      <c r="C13" s="5" t="s">
        <v>23</v>
      </c>
      <c r="D13" s="5" t="s">
        <v>277</v>
      </c>
      <c r="E13" s="14" t="s">
        <v>381</v>
      </c>
      <c r="F13">
        <f>Table2[[#This Row],[QE score]]</f>
        <v>9</v>
      </c>
      <c r="G13" t="s">
        <v>92</v>
      </c>
      <c r="H13" t="s">
        <v>92</v>
      </c>
      <c r="I13" t="s">
        <v>93</v>
      </c>
      <c r="J13" t="s">
        <v>92</v>
      </c>
      <c r="K13" t="s">
        <v>92</v>
      </c>
      <c r="L13" t="s">
        <v>92</v>
      </c>
      <c r="M13" t="s">
        <v>92</v>
      </c>
      <c r="N13" t="s">
        <v>92</v>
      </c>
      <c r="O13">
        <f>IF(Table2[[#This Row],[QE1: related]]="full",G$1,IF(Table2[[#This Row],[QE1: related]]="partial",G$1*0.5,0))+IF(Table2[[#This Row],[QE2: method]]="full",H$1,IF(Table2[[#This Row],[QE2: method]]="partial",H$1*0.5,0))+IF(Table2[[#This Row],[QE3: l+m]]="full",I$1,IF(Table2[[#This Row],[QE3: l+m]]="partial",I$1*0.5,0))+IF(Table2[[#This Row],[QE4: hw+sw]]="full",J$1,IF(Table2[[#This Row],[QE4: hw+sw]]="partial",J$1*0.5,0))+IF(Table2[[#This Row],[QE5: long]]="full",K$1,IF(Table2[[#This Row],[QE5: long]]="partial",K$1*0.5,0))+IF(Table2[[#This Row],[QE6: others]]="full",L$1,IF(Table2[[#This Row],[QE6: others]]="partial",L$1*0.5,0))+IF(Table2[[#This Row],[QE7: public]]="full",M$1,IF(Table2[[#This Row],[QE7: public]]="partial",M$1*0.5,0))+IF(Table2[[#This Row],[QE8: results]]="full",N$1,IF(Table2[[#This Row],[QE8: results]]="partial",N$1*0.5,0))</f>
        <v>9</v>
      </c>
      <c r="P13" t="str">
        <f>IF(OR(Table2[[#This Row],[QE2: method]]="none",Table2[[#This Row],[QE3: l+m]]="none",Table2[[#This Row],[QE5: long]]="none",Table2[[#This Row],[QE8: results]]="none"),"reject","ok")</f>
        <v>ok</v>
      </c>
      <c r="Q13" s="5" t="str">
        <f>IF(Table2[[#This Row],[QE score]]&lt;=$Q$1,"reject","ok")</f>
        <v>ok</v>
      </c>
      <c r="R13" s="5" t="str">
        <f>IF(AND(Table2[[#This Row],[QE R1:
QE2/3/5/8]] &lt;&gt; "reject", Table2[[#This Row],[QE R2:
cut-off]] &lt;&gt; "reject"),"yes","no")</f>
        <v>yes</v>
      </c>
    </row>
    <row r="14" spans="1:18" x14ac:dyDescent="0.2">
      <c r="A14" t="s">
        <v>138</v>
      </c>
      <c r="B14" t="s">
        <v>139</v>
      </c>
      <c r="C14" s="5" t="s">
        <v>23</v>
      </c>
      <c r="D14" s="5" t="s">
        <v>142</v>
      </c>
      <c r="E14" s="14" t="s">
        <v>366</v>
      </c>
      <c r="F14">
        <f>Table2[[#This Row],[QE score]]</f>
        <v>9.5</v>
      </c>
      <c r="G14" t="s">
        <v>92</v>
      </c>
      <c r="H14" t="s">
        <v>93</v>
      </c>
      <c r="I14" t="s">
        <v>92</v>
      </c>
      <c r="J14" t="s">
        <v>92</v>
      </c>
      <c r="K14" t="s">
        <v>92</v>
      </c>
      <c r="L14" t="s">
        <v>92</v>
      </c>
      <c r="M14" t="s">
        <v>92</v>
      </c>
      <c r="N14" t="s">
        <v>92</v>
      </c>
      <c r="O14">
        <f>IF(Table2[[#This Row],[QE1: related]]="full",G$1,IF(Table2[[#This Row],[QE1: related]]="partial",G$1*0.5,0))+IF(Table2[[#This Row],[QE2: method]]="full",H$1,IF(Table2[[#This Row],[QE2: method]]="partial",H$1*0.5,0))+IF(Table2[[#This Row],[QE3: l+m]]="full",I$1,IF(Table2[[#This Row],[QE3: l+m]]="partial",I$1*0.5,0))+IF(Table2[[#This Row],[QE4: hw+sw]]="full",J$1,IF(Table2[[#This Row],[QE4: hw+sw]]="partial",J$1*0.5,0))+IF(Table2[[#This Row],[QE5: long]]="full",K$1,IF(Table2[[#This Row],[QE5: long]]="partial",K$1*0.5,0))+IF(Table2[[#This Row],[QE6: others]]="full",L$1,IF(Table2[[#This Row],[QE6: others]]="partial",L$1*0.5,0))+IF(Table2[[#This Row],[QE7: public]]="full",M$1,IF(Table2[[#This Row],[QE7: public]]="partial",M$1*0.5,0))+IF(Table2[[#This Row],[QE8: results]]="full",N$1,IF(Table2[[#This Row],[QE8: results]]="partial",N$1*0.5,0))</f>
        <v>9.5</v>
      </c>
      <c r="P14" t="str">
        <f>IF(OR(Table2[[#This Row],[QE2: method]]="none",Table2[[#This Row],[QE3: l+m]]="none",Table2[[#This Row],[QE5: long]]="none",Table2[[#This Row],[QE8: results]]="none"),"reject","ok")</f>
        <v>ok</v>
      </c>
      <c r="Q14" s="5" t="str">
        <f>IF(Table2[[#This Row],[QE score]]&lt;=$Q$1,"reject","ok")</f>
        <v>ok</v>
      </c>
      <c r="R14" s="5" t="str">
        <f>IF(AND(Table2[[#This Row],[QE R1:
QE2/3/5/8]] &lt;&gt; "reject", Table2[[#This Row],[QE R2:
cut-off]] &lt;&gt; "reject"),"yes","no")</f>
        <v>yes</v>
      </c>
    </row>
    <row r="15" spans="1:18" x14ac:dyDescent="0.2">
      <c r="A15" t="s">
        <v>264</v>
      </c>
      <c r="B15" t="s">
        <v>265</v>
      </c>
      <c r="C15" s="5" t="s">
        <v>23</v>
      </c>
      <c r="D15" s="5" t="s">
        <v>268</v>
      </c>
      <c r="E15" s="14" t="s">
        <v>380</v>
      </c>
      <c r="F15">
        <f>Table2[[#This Row],[QE score]]</f>
        <v>8</v>
      </c>
      <c r="G15" t="s">
        <v>94</v>
      </c>
      <c r="H15" t="s">
        <v>93</v>
      </c>
      <c r="I15" t="s">
        <v>92</v>
      </c>
      <c r="J15" t="s">
        <v>92</v>
      </c>
      <c r="K15" t="s">
        <v>92</v>
      </c>
      <c r="L15" t="s">
        <v>92</v>
      </c>
      <c r="M15" t="s">
        <v>92</v>
      </c>
      <c r="N15" t="s">
        <v>93</v>
      </c>
      <c r="O15">
        <f>IF(Table2[[#This Row],[QE1: related]]="full",G$1,IF(Table2[[#This Row],[QE1: related]]="partial",G$1*0.5,0))+IF(Table2[[#This Row],[QE2: method]]="full",H$1,IF(Table2[[#This Row],[QE2: method]]="partial",H$1*0.5,0))+IF(Table2[[#This Row],[QE3: l+m]]="full",I$1,IF(Table2[[#This Row],[QE3: l+m]]="partial",I$1*0.5,0))+IF(Table2[[#This Row],[QE4: hw+sw]]="full",J$1,IF(Table2[[#This Row],[QE4: hw+sw]]="partial",J$1*0.5,0))+IF(Table2[[#This Row],[QE5: long]]="full",K$1,IF(Table2[[#This Row],[QE5: long]]="partial",K$1*0.5,0))+IF(Table2[[#This Row],[QE6: others]]="full",L$1,IF(Table2[[#This Row],[QE6: others]]="partial",L$1*0.5,0))+IF(Table2[[#This Row],[QE7: public]]="full",M$1,IF(Table2[[#This Row],[QE7: public]]="partial",M$1*0.5,0))+IF(Table2[[#This Row],[QE8: results]]="full",N$1,IF(Table2[[#This Row],[QE8: results]]="partial",N$1*0.5,0))</f>
        <v>8</v>
      </c>
      <c r="P15" t="str">
        <f>IF(OR(Table2[[#This Row],[QE2: method]]="none",Table2[[#This Row],[QE3: l+m]]="none",Table2[[#This Row],[QE5: long]]="none",Table2[[#This Row],[QE8: results]]="none"),"reject","ok")</f>
        <v>ok</v>
      </c>
      <c r="Q15" s="5" t="str">
        <f>IF(Table2[[#This Row],[QE score]]&lt;=$Q$1,"reject","ok")</f>
        <v>ok</v>
      </c>
      <c r="R15" s="5" t="str">
        <f>IF(AND(Table2[[#This Row],[QE R1:
QE2/3/5/8]] &lt;&gt; "reject", Table2[[#This Row],[QE R2:
cut-off]] &lt;&gt; "reject"),"yes","no")</f>
        <v>yes</v>
      </c>
    </row>
    <row r="16" spans="1:18" x14ac:dyDescent="0.2">
      <c r="A16" t="s">
        <v>180</v>
      </c>
      <c r="B16" t="s">
        <v>181</v>
      </c>
      <c r="C16" s="5" t="s">
        <v>23</v>
      </c>
      <c r="D16" s="5" t="s">
        <v>186</v>
      </c>
      <c r="E16" s="14" t="s">
        <v>371</v>
      </c>
      <c r="F16">
        <f>Table2[[#This Row],[QE score]]</f>
        <v>7.5</v>
      </c>
      <c r="G16" t="s">
        <v>94</v>
      </c>
      <c r="H16" t="s">
        <v>93</v>
      </c>
      <c r="I16" t="s">
        <v>92</v>
      </c>
      <c r="J16" t="s">
        <v>93</v>
      </c>
      <c r="K16" t="s">
        <v>92</v>
      </c>
      <c r="L16" t="s">
        <v>92</v>
      </c>
      <c r="M16" t="s">
        <v>92</v>
      </c>
      <c r="N16" t="s">
        <v>93</v>
      </c>
      <c r="O16">
        <f>IF(Table2[[#This Row],[QE1: related]]="full",G$1,IF(Table2[[#This Row],[QE1: related]]="partial",G$1*0.5,0))+IF(Table2[[#This Row],[QE2: method]]="full",H$1,IF(Table2[[#This Row],[QE2: method]]="partial",H$1*0.5,0))+IF(Table2[[#This Row],[QE3: l+m]]="full",I$1,IF(Table2[[#This Row],[QE3: l+m]]="partial",I$1*0.5,0))+IF(Table2[[#This Row],[QE4: hw+sw]]="full",J$1,IF(Table2[[#This Row],[QE4: hw+sw]]="partial",J$1*0.5,0))+IF(Table2[[#This Row],[QE5: long]]="full",K$1,IF(Table2[[#This Row],[QE5: long]]="partial",K$1*0.5,0))+IF(Table2[[#This Row],[QE6: others]]="full",L$1,IF(Table2[[#This Row],[QE6: others]]="partial",L$1*0.5,0))+IF(Table2[[#This Row],[QE7: public]]="full",M$1,IF(Table2[[#This Row],[QE7: public]]="partial",M$1*0.5,0))+IF(Table2[[#This Row],[QE8: results]]="full",N$1,IF(Table2[[#This Row],[QE8: results]]="partial",N$1*0.5,0))</f>
        <v>7.5</v>
      </c>
      <c r="P16" t="str">
        <f>IF(OR(Table2[[#This Row],[QE2: method]]="none",Table2[[#This Row],[QE3: l+m]]="none",Table2[[#This Row],[QE5: long]]="none",Table2[[#This Row],[QE8: results]]="none"),"reject","ok")</f>
        <v>ok</v>
      </c>
      <c r="Q16" s="5" t="str">
        <f>IF(Table2[[#This Row],[QE score]]&lt;=$Q$1,"reject","ok")</f>
        <v>reject</v>
      </c>
      <c r="R16" s="5" t="str">
        <f>IF(AND(Table2[[#This Row],[QE R1:
QE2/3/5/8]] &lt;&gt; "reject", Table2[[#This Row],[QE R2:
cut-off]] &lt;&gt; "reject"),"yes","no")</f>
        <v>no</v>
      </c>
    </row>
    <row r="17" spans="1:18" x14ac:dyDescent="0.2">
      <c r="A17" t="s">
        <v>345</v>
      </c>
      <c r="B17" t="s">
        <v>46</v>
      </c>
      <c r="C17" s="5" t="s">
        <v>23</v>
      </c>
      <c r="D17" s="5" t="s">
        <v>48</v>
      </c>
      <c r="E17" s="14" t="s">
        <v>348</v>
      </c>
      <c r="F17">
        <f>Table2[[#This Row],[QE score]]</f>
        <v>5</v>
      </c>
      <c r="G17" t="s">
        <v>93</v>
      </c>
      <c r="H17" t="s">
        <v>93</v>
      </c>
      <c r="I17" t="s">
        <v>92</v>
      </c>
      <c r="J17" t="s">
        <v>93</v>
      </c>
      <c r="K17" t="s">
        <v>94</v>
      </c>
      <c r="L17" t="s">
        <v>92</v>
      </c>
      <c r="M17" t="s">
        <v>94</v>
      </c>
      <c r="N17" t="s">
        <v>93</v>
      </c>
      <c r="O17">
        <f>IF(Table2[[#This Row],[QE1: related]]="full",G$1,IF(Table2[[#This Row],[QE1: related]]="partial",G$1*0.5,0))+IF(Table2[[#This Row],[QE2: method]]="full",H$1,IF(Table2[[#This Row],[QE2: method]]="partial",H$1*0.5,0))+IF(Table2[[#This Row],[QE3: l+m]]="full",I$1,IF(Table2[[#This Row],[QE3: l+m]]="partial",I$1*0.5,0))+IF(Table2[[#This Row],[QE4: hw+sw]]="full",J$1,IF(Table2[[#This Row],[QE4: hw+sw]]="partial",J$1*0.5,0))+IF(Table2[[#This Row],[QE5: long]]="full",K$1,IF(Table2[[#This Row],[QE5: long]]="partial",K$1*0.5,0))+IF(Table2[[#This Row],[QE6: others]]="full",L$1,IF(Table2[[#This Row],[QE6: others]]="partial",L$1*0.5,0))+IF(Table2[[#This Row],[QE7: public]]="full",M$1,IF(Table2[[#This Row],[QE7: public]]="partial",M$1*0.5,0))+IF(Table2[[#This Row],[QE8: results]]="full",N$1,IF(Table2[[#This Row],[QE8: results]]="partial",N$1*0.5,0))</f>
        <v>5</v>
      </c>
      <c r="P17" t="str">
        <f>IF(OR(Table2[[#This Row],[QE2: method]]="none",Table2[[#This Row],[QE3: l+m]]="none",Table2[[#This Row],[QE5: long]]="none",Table2[[#This Row],[QE8: results]]="none"),"reject","ok")</f>
        <v>reject</v>
      </c>
      <c r="Q17" s="5" t="str">
        <f>IF(Table2[[#This Row],[QE score]]&lt;=$Q$1,"reject","ok")</f>
        <v>reject</v>
      </c>
      <c r="R17" s="5" t="str">
        <f>IF(AND(Table2[[#This Row],[QE R1:
QE2/3/5/8]] &lt;&gt; "reject", Table2[[#This Row],[QE R2:
cut-off]] &lt;&gt; "reject"),"yes","no")</f>
        <v>no</v>
      </c>
    </row>
    <row r="18" spans="1:18" x14ac:dyDescent="0.2">
      <c r="A18" t="s">
        <v>166</v>
      </c>
      <c r="B18" t="s">
        <v>167</v>
      </c>
      <c r="C18" s="5" t="s">
        <v>23</v>
      </c>
      <c r="D18" s="5" t="s">
        <v>170</v>
      </c>
      <c r="E18" s="14" t="s">
        <v>369</v>
      </c>
      <c r="F18">
        <f>Table2[[#This Row],[QE score]]</f>
        <v>7.5</v>
      </c>
      <c r="G18" t="s">
        <v>92</v>
      </c>
      <c r="H18" t="s">
        <v>93</v>
      </c>
      <c r="I18" t="s">
        <v>93</v>
      </c>
      <c r="J18" t="s">
        <v>93</v>
      </c>
      <c r="K18" t="s">
        <v>92</v>
      </c>
      <c r="L18" t="s">
        <v>92</v>
      </c>
      <c r="M18" t="s">
        <v>92</v>
      </c>
      <c r="N18" t="s">
        <v>93</v>
      </c>
      <c r="O18">
        <f>IF(Table2[[#This Row],[QE1: related]]="full",G$1,IF(Table2[[#This Row],[QE1: related]]="partial",G$1*0.5,0))+IF(Table2[[#This Row],[QE2: method]]="full",H$1,IF(Table2[[#This Row],[QE2: method]]="partial",H$1*0.5,0))+IF(Table2[[#This Row],[QE3: l+m]]="full",I$1,IF(Table2[[#This Row],[QE3: l+m]]="partial",I$1*0.5,0))+IF(Table2[[#This Row],[QE4: hw+sw]]="full",J$1,IF(Table2[[#This Row],[QE4: hw+sw]]="partial",J$1*0.5,0))+IF(Table2[[#This Row],[QE5: long]]="full",K$1,IF(Table2[[#This Row],[QE5: long]]="partial",K$1*0.5,0))+IF(Table2[[#This Row],[QE6: others]]="full",L$1,IF(Table2[[#This Row],[QE6: others]]="partial",L$1*0.5,0))+IF(Table2[[#This Row],[QE7: public]]="full",M$1,IF(Table2[[#This Row],[QE7: public]]="partial",M$1*0.5,0))+IF(Table2[[#This Row],[QE8: results]]="full",N$1,IF(Table2[[#This Row],[QE8: results]]="partial",N$1*0.5,0))</f>
        <v>7.5</v>
      </c>
      <c r="P18" t="str">
        <f>IF(OR(Table2[[#This Row],[QE2: method]]="none",Table2[[#This Row],[QE3: l+m]]="none",Table2[[#This Row],[QE5: long]]="none",Table2[[#This Row],[QE8: results]]="none"),"reject","ok")</f>
        <v>ok</v>
      </c>
      <c r="Q18" s="5" t="str">
        <f>IF(Table2[[#This Row],[QE score]]&lt;=$Q$1,"reject","ok")</f>
        <v>reject</v>
      </c>
      <c r="R18" s="5" t="str">
        <f>IF(AND(Table2[[#This Row],[QE R1:
QE2/3/5/8]] &lt;&gt; "reject", Table2[[#This Row],[QE R2:
cut-off]] &lt;&gt; "reject"),"yes","no")</f>
        <v>no</v>
      </c>
    </row>
    <row r="19" spans="1:18" x14ac:dyDescent="0.2">
      <c r="A19" t="s">
        <v>245</v>
      </c>
      <c r="B19" t="s">
        <v>246</v>
      </c>
      <c r="C19" s="5" t="s">
        <v>23</v>
      </c>
      <c r="D19" s="5" t="s">
        <v>250</v>
      </c>
      <c r="E19" s="14" t="s">
        <v>378</v>
      </c>
      <c r="F19">
        <f>Table2[[#This Row],[QE score]]</f>
        <v>3</v>
      </c>
      <c r="G19" t="s">
        <v>94</v>
      </c>
      <c r="H19" t="s">
        <v>94</v>
      </c>
      <c r="I19" t="s">
        <v>93</v>
      </c>
      <c r="J19" t="s">
        <v>92</v>
      </c>
      <c r="K19" t="s">
        <v>94</v>
      </c>
      <c r="L19" t="s">
        <v>92</v>
      </c>
      <c r="M19" t="s">
        <v>94</v>
      </c>
      <c r="N19" t="s">
        <v>94</v>
      </c>
      <c r="O19">
        <f>IF(Table2[[#This Row],[QE1: related]]="full",G$1,IF(Table2[[#This Row],[QE1: related]]="partial",G$1*0.5,0))+IF(Table2[[#This Row],[QE2: method]]="full",H$1,IF(Table2[[#This Row],[QE2: method]]="partial",H$1*0.5,0))+IF(Table2[[#This Row],[QE3: l+m]]="full",I$1,IF(Table2[[#This Row],[QE3: l+m]]="partial",I$1*0.5,0))+IF(Table2[[#This Row],[QE4: hw+sw]]="full",J$1,IF(Table2[[#This Row],[QE4: hw+sw]]="partial",J$1*0.5,0))+IF(Table2[[#This Row],[QE5: long]]="full",K$1,IF(Table2[[#This Row],[QE5: long]]="partial",K$1*0.5,0))+IF(Table2[[#This Row],[QE6: others]]="full",L$1,IF(Table2[[#This Row],[QE6: others]]="partial",L$1*0.5,0))+IF(Table2[[#This Row],[QE7: public]]="full",M$1,IF(Table2[[#This Row],[QE7: public]]="partial",M$1*0.5,0))+IF(Table2[[#This Row],[QE8: results]]="full",N$1,IF(Table2[[#This Row],[QE8: results]]="partial",N$1*0.5,0))</f>
        <v>3</v>
      </c>
      <c r="P19" t="str">
        <f>IF(OR(Table2[[#This Row],[QE2: method]]="none",Table2[[#This Row],[QE3: l+m]]="none",Table2[[#This Row],[QE5: long]]="none",Table2[[#This Row],[QE8: results]]="none"),"reject","ok")</f>
        <v>reject</v>
      </c>
      <c r="Q19" s="5" t="str">
        <f>IF(Table2[[#This Row],[QE score]]&lt;=$Q$1,"reject","ok")</f>
        <v>reject</v>
      </c>
      <c r="R19" s="5" t="str">
        <f>IF(AND(Table2[[#This Row],[QE R1:
QE2/3/5/8]] &lt;&gt; "reject", Table2[[#This Row],[QE R2:
cut-off]] &lt;&gt; "reject"),"yes","no")</f>
        <v>no</v>
      </c>
    </row>
    <row r="20" spans="1:18" x14ac:dyDescent="0.2">
      <c r="A20" t="s">
        <v>210</v>
      </c>
      <c r="B20" t="s">
        <v>211</v>
      </c>
      <c r="C20" s="5" t="s">
        <v>23</v>
      </c>
      <c r="D20" s="5" t="s">
        <v>216</v>
      </c>
      <c r="E20" s="14" t="s">
        <v>374</v>
      </c>
      <c r="F20">
        <f>Table2[[#This Row],[QE score]]</f>
        <v>7</v>
      </c>
      <c r="G20" t="s">
        <v>94</v>
      </c>
      <c r="H20" t="s">
        <v>93</v>
      </c>
      <c r="I20" t="s">
        <v>93</v>
      </c>
      <c r="J20" t="s">
        <v>92</v>
      </c>
      <c r="K20" t="s">
        <v>92</v>
      </c>
      <c r="L20" t="s">
        <v>92</v>
      </c>
      <c r="M20" t="s">
        <v>92</v>
      </c>
      <c r="N20" t="s">
        <v>93</v>
      </c>
      <c r="O20">
        <f>IF(Table2[[#This Row],[QE1: related]]="full",G$1,IF(Table2[[#This Row],[QE1: related]]="partial",G$1*0.5,0))+IF(Table2[[#This Row],[QE2: method]]="full",H$1,IF(Table2[[#This Row],[QE2: method]]="partial",H$1*0.5,0))+IF(Table2[[#This Row],[QE3: l+m]]="full",I$1,IF(Table2[[#This Row],[QE3: l+m]]="partial",I$1*0.5,0))+IF(Table2[[#This Row],[QE4: hw+sw]]="full",J$1,IF(Table2[[#This Row],[QE4: hw+sw]]="partial",J$1*0.5,0))+IF(Table2[[#This Row],[QE5: long]]="full",K$1,IF(Table2[[#This Row],[QE5: long]]="partial",K$1*0.5,0))+IF(Table2[[#This Row],[QE6: others]]="full",L$1,IF(Table2[[#This Row],[QE6: others]]="partial",L$1*0.5,0))+IF(Table2[[#This Row],[QE7: public]]="full",M$1,IF(Table2[[#This Row],[QE7: public]]="partial",M$1*0.5,0))+IF(Table2[[#This Row],[QE8: results]]="full",N$1,IF(Table2[[#This Row],[QE8: results]]="partial",N$1*0.5,0))</f>
        <v>7</v>
      </c>
      <c r="P20" t="str">
        <f>IF(OR(Table2[[#This Row],[QE2: method]]="none",Table2[[#This Row],[QE3: l+m]]="none",Table2[[#This Row],[QE5: long]]="none",Table2[[#This Row],[QE8: results]]="none"),"reject","ok")</f>
        <v>ok</v>
      </c>
      <c r="Q20" s="5" t="str">
        <f>IF(Table2[[#This Row],[QE score]]&lt;=$Q$1,"reject","ok")</f>
        <v>reject</v>
      </c>
      <c r="R20" s="5" t="str">
        <f>IF(AND(Table2[[#This Row],[QE R1:
QE2/3/5/8]] &lt;&gt; "reject", Table2[[#This Row],[QE R2:
cut-off]] &lt;&gt; "reject"),"yes","no")</f>
        <v>no</v>
      </c>
    </row>
    <row r="21" spans="1:18" x14ac:dyDescent="0.2">
      <c r="A21" t="s">
        <v>338</v>
      </c>
      <c r="B21" t="s">
        <v>339</v>
      </c>
      <c r="C21" s="5" t="s">
        <v>23</v>
      </c>
      <c r="D21" s="5" t="s">
        <v>343</v>
      </c>
      <c r="E21" s="14" t="s">
        <v>384</v>
      </c>
      <c r="F21">
        <f>Table2[[#This Row],[QE score]]</f>
        <v>7</v>
      </c>
      <c r="G21" t="s">
        <v>93</v>
      </c>
      <c r="H21" t="s">
        <v>93</v>
      </c>
      <c r="I21" t="s">
        <v>92</v>
      </c>
      <c r="J21" t="s">
        <v>92</v>
      </c>
      <c r="K21" t="s">
        <v>94</v>
      </c>
      <c r="L21" t="s">
        <v>92</v>
      </c>
      <c r="M21" t="s">
        <v>92</v>
      </c>
      <c r="N21" t="s">
        <v>92</v>
      </c>
      <c r="O21">
        <f>IF(Table2[[#This Row],[QE1: related]]="full",G$1,IF(Table2[[#This Row],[QE1: related]]="partial",G$1*0.5,0))+IF(Table2[[#This Row],[QE2: method]]="full",H$1,IF(Table2[[#This Row],[QE2: method]]="partial",H$1*0.5,0))+IF(Table2[[#This Row],[QE3: l+m]]="full",I$1,IF(Table2[[#This Row],[QE3: l+m]]="partial",I$1*0.5,0))+IF(Table2[[#This Row],[QE4: hw+sw]]="full",J$1,IF(Table2[[#This Row],[QE4: hw+sw]]="partial",J$1*0.5,0))+IF(Table2[[#This Row],[QE5: long]]="full",K$1,IF(Table2[[#This Row],[QE5: long]]="partial",K$1*0.5,0))+IF(Table2[[#This Row],[QE6: others]]="full",L$1,IF(Table2[[#This Row],[QE6: others]]="partial",L$1*0.5,0))+IF(Table2[[#This Row],[QE7: public]]="full",M$1,IF(Table2[[#This Row],[QE7: public]]="partial",M$1*0.5,0))+IF(Table2[[#This Row],[QE8: results]]="full",N$1,IF(Table2[[#This Row],[QE8: results]]="partial",N$1*0.5,0))</f>
        <v>7</v>
      </c>
      <c r="P21" t="str">
        <f>IF(OR(Table2[[#This Row],[QE2: method]]="none",Table2[[#This Row],[QE3: l+m]]="none",Table2[[#This Row],[QE5: long]]="none",Table2[[#This Row],[QE8: results]]="none"),"reject","ok")</f>
        <v>reject</v>
      </c>
      <c r="Q21" s="5" t="str">
        <f>IF(Table2[[#This Row],[QE score]]&lt;=$Q$1,"reject","ok")</f>
        <v>reject</v>
      </c>
      <c r="R21" s="5" t="str">
        <f>IF(AND(Table2[[#This Row],[QE R1:
QE2/3/5/8]] &lt;&gt; "reject", Table2[[#This Row],[QE R2:
cut-off]] &lt;&gt; "reject"),"yes","no")</f>
        <v>no</v>
      </c>
    </row>
    <row r="22" spans="1:18" x14ac:dyDescent="0.2">
      <c r="A22" t="s">
        <v>25</v>
      </c>
      <c r="B22" t="s">
        <v>26</v>
      </c>
      <c r="C22" s="5" t="s">
        <v>23</v>
      </c>
      <c r="D22" s="5" t="s">
        <v>28</v>
      </c>
      <c r="E22" s="14" t="s">
        <v>370</v>
      </c>
      <c r="F22">
        <f>Table2[[#This Row],[QE score]]</f>
        <v>7.5</v>
      </c>
      <c r="G22" t="s">
        <v>92</v>
      </c>
      <c r="H22" t="s">
        <v>92</v>
      </c>
      <c r="I22" t="s">
        <v>93</v>
      </c>
      <c r="J22" t="s">
        <v>92</v>
      </c>
      <c r="K22" t="s">
        <v>92</v>
      </c>
      <c r="L22" t="s">
        <v>94</v>
      </c>
      <c r="M22" t="s">
        <v>92</v>
      </c>
      <c r="N22" t="s">
        <v>93</v>
      </c>
      <c r="O22">
        <f>IF(Table2[[#This Row],[QE1: related]]="full",G$1,IF(Table2[[#This Row],[QE1: related]]="partial",G$1*0.5,0))+IF(Table2[[#This Row],[QE2: method]]="full",H$1,IF(Table2[[#This Row],[QE2: method]]="partial",H$1*0.5,0))+IF(Table2[[#This Row],[QE3: l+m]]="full",I$1,IF(Table2[[#This Row],[QE3: l+m]]="partial",I$1*0.5,0))+IF(Table2[[#This Row],[QE4: hw+sw]]="full",J$1,IF(Table2[[#This Row],[QE4: hw+sw]]="partial",J$1*0.5,0))+IF(Table2[[#This Row],[QE5: long]]="full",K$1,IF(Table2[[#This Row],[QE5: long]]="partial",K$1*0.5,0))+IF(Table2[[#This Row],[QE6: others]]="full",L$1,IF(Table2[[#This Row],[QE6: others]]="partial",L$1*0.5,0))+IF(Table2[[#This Row],[QE7: public]]="full",M$1,IF(Table2[[#This Row],[QE7: public]]="partial",M$1*0.5,0))+IF(Table2[[#This Row],[QE8: results]]="full",N$1,IF(Table2[[#This Row],[QE8: results]]="partial",N$1*0.5,0))</f>
        <v>7.5</v>
      </c>
      <c r="P22" t="str">
        <f>IF(OR(Table2[[#This Row],[QE2: method]]="none",Table2[[#This Row],[QE3: l+m]]="none",Table2[[#This Row],[QE5: long]]="none",Table2[[#This Row],[QE8: results]]="none"),"reject","ok")</f>
        <v>ok</v>
      </c>
      <c r="Q22" s="5" t="str">
        <f>IF(Table2[[#This Row],[QE score]]&lt;=$Q$1,"reject","ok")</f>
        <v>reject</v>
      </c>
      <c r="R22" s="5" t="str">
        <f>IF(AND(Table2[[#This Row],[QE R1:
QE2/3/5/8]] &lt;&gt; "reject", Table2[[#This Row],[QE R2:
cut-off]] &lt;&gt; "reject"),"yes","no")</f>
        <v>no</v>
      </c>
    </row>
    <row r="23" spans="1:18" x14ac:dyDescent="0.2">
      <c r="A23" t="s">
        <v>158</v>
      </c>
      <c r="B23" t="s">
        <v>159</v>
      </c>
      <c r="C23" s="5" t="s">
        <v>23</v>
      </c>
      <c r="D23" s="5" t="s">
        <v>162</v>
      </c>
      <c r="E23" s="14" t="s">
        <v>364</v>
      </c>
      <c r="F23">
        <f>Table2[[#This Row],[QE score]]</f>
        <v>7.5</v>
      </c>
      <c r="G23" t="s">
        <v>93</v>
      </c>
      <c r="H23" t="s">
        <v>92</v>
      </c>
      <c r="I23" t="s">
        <v>93</v>
      </c>
      <c r="J23" t="s">
        <v>93</v>
      </c>
      <c r="K23" t="s">
        <v>92</v>
      </c>
      <c r="L23" t="s">
        <v>92</v>
      </c>
      <c r="M23" t="s">
        <v>92</v>
      </c>
      <c r="N23" t="s">
        <v>93</v>
      </c>
      <c r="O23">
        <f>IF(Table2[[#This Row],[QE1: related]]="full",G$1,IF(Table2[[#This Row],[QE1: related]]="partial",G$1*0.5,0))+IF(Table2[[#This Row],[QE2: method]]="full",H$1,IF(Table2[[#This Row],[QE2: method]]="partial",H$1*0.5,0))+IF(Table2[[#This Row],[QE3: l+m]]="full",I$1,IF(Table2[[#This Row],[QE3: l+m]]="partial",I$1*0.5,0))+IF(Table2[[#This Row],[QE4: hw+sw]]="full",J$1,IF(Table2[[#This Row],[QE4: hw+sw]]="partial",J$1*0.5,0))+IF(Table2[[#This Row],[QE5: long]]="full",K$1,IF(Table2[[#This Row],[QE5: long]]="partial",K$1*0.5,0))+IF(Table2[[#This Row],[QE6: others]]="full",L$1,IF(Table2[[#This Row],[QE6: others]]="partial",L$1*0.5,0))+IF(Table2[[#This Row],[QE7: public]]="full",M$1,IF(Table2[[#This Row],[QE7: public]]="partial",M$1*0.5,0))+IF(Table2[[#This Row],[QE8: results]]="full",N$1,IF(Table2[[#This Row],[QE8: results]]="partial",N$1*0.5,0))</f>
        <v>7.5</v>
      </c>
      <c r="P23" t="str">
        <f>IF(OR(Table2[[#This Row],[QE2: method]]="none",Table2[[#This Row],[QE3: l+m]]="none",Table2[[#This Row],[QE5: long]]="none",Table2[[#This Row],[QE8: results]]="none"),"reject","ok")</f>
        <v>ok</v>
      </c>
      <c r="Q23" s="5" t="str">
        <f>IF(Table2[[#This Row],[QE score]]&lt;=$Q$1,"reject","ok")</f>
        <v>reject</v>
      </c>
      <c r="R23" s="5" t="str">
        <f>IF(AND(Table2[[#This Row],[QE R1:
QE2/3/5/8]] &lt;&gt; "reject", Table2[[#This Row],[QE R2:
cut-off]] &lt;&gt; "reject"),"yes","no")</f>
        <v>no</v>
      </c>
    </row>
    <row r="24" spans="1:18" x14ac:dyDescent="0.2">
      <c r="A24" t="s">
        <v>291</v>
      </c>
      <c r="B24" t="s">
        <v>292</v>
      </c>
      <c r="C24" s="5" t="s">
        <v>23</v>
      </c>
      <c r="D24" s="5" t="s">
        <v>295</v>
      </c>
      <c r="E24" s="14" t="s">
        <v>363</v>
      </c>
      <c r="F24">
        <f>Table2[[#This Row],[QE score]]</f>
        <v>6.5</v>
      </c>
      <c r="G24" t="s">
        <v>94</v>
      </c>
      <c r="H24" t="s">
        <v>93</v>
      </c>
      <c r="I24" t="s">
        <v>92</v>
      </c>
      <c r="J24" t="s">
        <v>93</v>
      </c>
      <c r="K24" t="s">
        <v>92</v>
      </c>
      <c r="L24" t="s">
        <v>92</v>
      </c>
      <c r="M24" t="s">
        <v>94</v>
      </c>
      <c r="N24" t="s">
        <v>93</v>
      </c>
      <c r="O24">
        <f>IF(Table2[[#This Row],[QE1: related]]="full",G$1,IF(Table2[[#This Row],[QE1: related]]="partial",G$1*0.5,0))+IF(Table2[[#This Row],[QE2: method]]="full",H$1,IF(Table2[[#This Row],[QE2: method]]="partial",H$1*0.5,0))+IF(Table2[[#This Row],[QE3: l+m]]="full",I$1,IF(Table2[[#This Row],[QE3: l+m]]="partial",I$1*0.5,0))+IF(Table2[[#This Row],[QE4: hw+sw]]="full",J$1,IF(Table2[[#This Row],[QE4: hw+sw]]="partial",J$1*0.5,0))+IF(Table2[[#This Row],[QE5: long]]="full",K$1,IF(Table2[[#This Row],[QE5: long]]="partial",K$1*0.5,0))+IF(Table2[[#This Row],[QE6: others]]="full",L$1,IF(Table2[[#This Row],[QE6: others]]="partial",L$1*0.5,0))+IF(Table2[[#This Row],[QE7: public]]="full",M$1,IF(Table2[[#This Row],[QE7: public]]="partial",M$1*0.5,0))+IF(Table2[[#This Row],[QE8: results]]="full",N$1,IF(Table2[[#This Row],[QE8: results]]="partial",N$1*0.5,0))</f>
        <v>6.5</v>
      </c>
      <c r="P24" t="str">
        <f>IF(OR(Table2[[#This Row],[QE2: method]]="none",Table2[[#This Row],[QE3: l+m]]="none",Table2[[#This Row],[QE5: long]]="none",Table2[[#This Row],[QE8: results]]="none"),"reject","ok")</f>
        <v>ok</v>
      </c>
      <c r="Q24" s="5" t="str">
        <f>IF(Table2[[#This Row],[QE score]]&lt;=$Q$1,"reject","ok")</f>
        <v>reject</v>
      </c>
      <c r="R24" s="5" t="str">
        <f>IF(AND(Table2[[#This Row],[QE R1:
QE2/3/5/8]] &lt;&gt; "reject", Table2[[#This Row],[QE R2:
cut-off]] &lt;&gt; "reject"),"yes","no")</f>
        <v>no</v>
      </c>
    </row>
    <row r="25" spans="1:18" x14ac:dyDescent="0.2">
      <c r="A25" t="s">
        <v>219</v>
      </c>
      <c r="B25" t="s">
        <v>220</v>
      </c>
      <c r="C25" s="5" t="s">
        <v>23</v>
      </c>
      <c r="D25" s="5" t="s">
        <v>222</v>
      </c>
      <c r="E25" s="14" t="s">
        <v>375</v>
      </c>
      <c r="F25">
        <f>Table2[[#This Row],[QE score]]</f>
        <v>4</v>
      </c>
      <c r="G25" t="s">
        <v>94</v>
      </c>
      <c r="H25" t="s">
        <v>94</v>
      </c>
      <c r="I25" t="s">
        <v>92</v>
      </c>
      <c r="J25" t="s">
        <v>93</v>
      </c>
      <c r="K25" t="s">
        <v>94</v>
      </c>
      <c r="L25" t="s">
        <v>92</v>
      </c>
      <c r="M25" t="s">
        <v>94</v>
      </c>
      <c r="N25" t="s">
        <v>93</v>
      </c>
      <c r="O25">
        <f>IF(Table2[[#This Row],[QE1: related]]="full",G$1,IF(Table2[[#This Row],[QE1: related]]="partial",G$1*0.5,0))+IF(Table2[[#This Row],[QE2: method]]="full",H$1,IF(Table2[[#This Row],[QE2: method]]="partial",H$1*0.5,0))+IF(Table2[[#This Row],[QE3: l+m]]="full",I$1,IF(Table2[[#This Row],[QE3: l+m]]="partial",I$1*0.5,0))+IF(Table2[[#This Row],[QE4: hw+sw]]="full",J$1,IF(Table2[[#This Row],[QE4: hw+sw]]="partial",J$1*0.5,0))+IF(Table2[[#This Row],[QE5: long]]="full",K$1,IF(Table2[[#This Row],[QE5: long]]="partial",K$1*0.5,0))+IF(Table2[[#This Row],[QE6: others]]="full",L$1,IF(Table2[[#This Row],[QE6: others]]="partial",L$1*0.5,0))+IF(Table2[[#This Row],[QE7: public]]="full",M$1,IF(Table2[[#This Row],[QE7: public]]="partial",M$1*0.5,0))+IF(Table2[[#This Row],[QE8: results]]="full",N$1,IF(Table2[[#This Row],[QE8: results]]="partial",N$1*0.5,0))</f>
        <v>4</v>
      </c>
      <c r="P25" t="str">
        <f>IF(OR(Table2[[#This Row],[QE2: method]]="none",Table2[[#This Row],[QE3: l+m]]="none",Table2[[#This Row],[QE5: long]]="none",Table2[[#This Row],[QE8: results]]="none"),"reject","ok")</f>
        <v>reject</v>
      </c>
      <c r="Q25" s="5" t="str">
        <f>IF(Table2[[#This Row],[QE score]]&lt;=$Q$1,"reject","ok")</f>
        <v>reject</v>
      </c>
      <c r="R25" s="5" t="str">
        <f>IF(AND(Table2[[#This Row],[QE R1:
QE2/3/5/8]] &lt;&gt; "reject", Table2[[#This Row],[QE R2:
cut-off]] &lt;&gt; "reject"),"yes","no")</f>
        <v>no</v>
      </c>
    </row>
    <row r="26" spans="1:18" x14ac:dyDescent="0.2">
      <c r="A26" t="s">
        <v>331</v>
      </c>
      <c r="B26" t="s">
        <v>332</v>
      </c>
      <c r="C26" s="5" t="s">
        <v>23</v>
      </c>
      <c r="D26" s="5" t="s">
        <v>335</v>
      </c>
      <c r="E26" s="14" t="s">
        <v>383</v>
      </c>
      <c r="F26">
        <f>Table2[[#This Row],[QE score]]</f>
        <v>6</v>
      </c>
      <c r="G26" t="s">
        <v>93</v>
      </c>
      <c r="H26" t="s">
        <v>93</v>
      </c>
      <c r="I26" t="s">
        <v>92</v>
      </c>
      <c r="J26" t="s">
        <v>93</v>
      </c>
      <c r="K26" t="s">
        <v>94</v>
      </c>
      <c r="L26" t="s">
        <v>92</v>
      </c>
      <c r="M26" t="s">
        <v>92</v>
      </c>
      <c r="N26" t="s">
        <v>93</v>
      </c>
      <c r="O26">
        <f>IF(Table2[[#This Row],[QE1: related]]="full",G$1,IF(Table2[[#This Row],[QE1: related]]="partial",G$1*0.5,0))+IF(Table2[[#This Row],[QE2: method]]="full",H$1,IF(Table2[[#This Row],[QE2: method]]="partial",H$1*0.5,0))+IF(Table2[[#This Row],[QE3: l+m]]="full",I$1,IF(Table2[[#This Row],[QE3: l+m]]="partial",I$1*0.5,0))+IF(Table2[[#This Row],[QE4: hw+sw]]="full",J$1,IF(Table2[[#This Row],[QE4: hw+sw]]="partial",J$1*0.5,0))+IF(Table2[[#This Row],[QE5: long]]="full",K$1,IF(Table2[[#This Row],[QE5: long]]="partial",K$1*0.5,0))+IF(Table2[[#This Row],[QE6: others]]="full",L$1,IF(Table2[[#This Row],[QE6: others]]="partial",L$1*0.5,0))+IF(Table2[[#This Row],[QE7: public]]="full",M$1,IF(Table2[[#This Row],[QE7: public]]="partial",M$1*0.5,0))+IF(Table2[[#This Row],[QE8: results]]="full",N$1,IF(Table2[[#This Row],[QE8: results]]="partial",N$1*0.5,0))</f>
        <v>6</v>
      </c>
      <c r="P26" t="str">
        <f>IF(OR(Table2[[#This Row],[QE2: method]]="none",Table2[[#This Row],[QE3: l+m]]="none",Table2[[#This Row],[QE5: long]]="none",Table2[[#This Row],[QE8: results]]="none"),"reject","ok")</f>
        <v>reject</v>
      </c>
      <c r="Q26" s="5" t="str">
        <f>IF(Table2[[#This Row],[QE score]]&lt;=$Q$1,"reject","ok")</f>
        <v>reject</v>
      </c>
      <c r="R26" s="5" t="str">
        <f>IF(AND(Table2[[#This Row],[QE R1:
QE2/3/5/8]] &lt;&gt; "reject", Table2[[#This Row],[QE R2:
cut-off]] &lt;&gt; "reject"),"yes","no")</f>
        <v>no</v>
      </c>
    </row>
    <row r="27" spans="1:18" x14ac:dyDescent="0.2">
      <c r="A27" t="s">
        <v>36</v>
      </c>
      <c r="B27" t="s">
        <v>37</v>
      </c>
      <c r="C27" s="5" t="s">
        <v>23</v>
      </c>
      <c r="D27" s="5" t="s">
        <v>39</v>
      </c>
      <c r="E27" s="14" t="s">
        <v>351</v>
      </c>
      <c r="F27">
        <f>Table2[[#This Row],[QE score]]</f>
        <v>0</v>
      </c>
      <c r="G27" t="s">
        <v>94</v>
      </c>
      <c r="H27" t="s">
        <v>94</v>
      </c>
      <c r="I27" t="s">
        <v>94</v>
      </c>
      <c r="J27" t="s">
        <v>94</v>
      </c>
      <c r="K27" t="s">
        <v>94</v>
      </c>
      <c r="L27" t="s">
        <v>94</v>
      </c>
      <c r="M27" t="s">
        <v>94</v>
      </c>
      <c r="N27" t="s">
        <v>94</v>
      </c>
      <c r="O27">
        <f>IF(Table2[[#This Row],[QE1: related]]="full",G$1,IF(Table2[[#This Row],[QE1: related]]="partial",G$1*0.5,0))+IF(Table2[[#This Row],[QE2: method]]="full",H$1,IF(Table2[[#This Row],[QE2: method]]="partial",H$1*0.5,0))+IF(Table2[[#This Row],[QE3: l+m]]="full",I$1,IF(Table2[[#This Row],[QE3: l+m]]="partial",I$1*0.5,0))+IF(Table2[[#This Row],[QE4: hw+sw]]="full",J$1,IF(Table2[[#This Row],[QE4: hw+sw]]="partial",J$1*0.5,0))+IF(Table2[[#This Row],[QE5: long]]="full",K$1,IF(Table2[[#This Row],[QE5: long]]="partial",K$1*0.5,0))+IF(Table2[[#This Row],[QE6: others]]="full",L$1,IF(Table2[[#This Row],[QE6: others]]="partial",L$1*0.5,0))+IF(Table2[[#This Row],[QE7: public]]="full",M$1,IF(Table2[[#This Row],[QE7: public]]="partial",M$1*0.5,0))+IF(Table2[[#This Row],[QE8: results]]="full",N$1,IF(Table2[[#This Row],[QE8: results]]="partial",N$1*0.5,0))</f>
        <v>0</v>
      </c>
      <c r="P27" t="str">
        <f>IF(OR(Table2[[#This Row],[QE2: method]]="none",Table2[[#This Row],[QE3: l+m]]="none",Table2[[#This Row],[QE5: long]]="none",Table2[[#This Row],[QE8: results]]="none"),"reject","ok")</f>
        <v>reject</v>
      </c>
      <c r="Q27" s="5" t="str">
        <f>IF(Table2[[#This Row],[QE score]]&lt;=$Q$1,"reject","ok")</f>
        <v>reject</v>
      </c>
      <c r="R27" s="5" t="str">
        <f>IF(AND(Table2[[#This Row],[QE R1:
QE2/3/5/8]] &lt;&gt; "reject", Table2[[#This Row],[QE R2:
cut-off]] &lt;&gt; "reject"),"yes","no")</f>
        <v>no</v>
      </c>
    </row>
    <row r="28" spans="1:18" x14ac:dyDescent="0.2">
      <c r="A28" t="s">
        <v>254</v>
      </c>
      <c r="B28" t="s">
        <v>255</v>
      </c>
      <c r="C28" s="5" t="s">
        <v>23</v>
      </c>
      <c r="D28" s="5" t="s">
        <v>259</v>
      </c>
      <c r="E28" s="14" t="s">
        <v>379</v>
      </c>
      <c r="F28">
        <f>Table2[[#This Row],[QE score]]</f>
        <v>0</v>
      </c>
      <c r="G28" t="s">
        <v>94</v>
      </c>
      <c r="H28" t="s">
        <v>94</v>
      </c>
      <c r="I28" t="s">
        <v>94</v>
      </c>
      <c r="J28" t="s">
        <v>94</v>
      </c>
      <c r="K28" t="s">
        <v>94</v>
      </c>
      <c r="L28" t="s">
        <v>94</v>
      </c>
      <c r="M28" t="s">
        <v>94</v>
      </c>
      <c r="N28" t="s">
        <v>94</v>
      </c>
      <c r="O28">
        <f>IF(Table2[[#This Row],[QE1: related]]="full",G$1,IF(Table2[[#This Row],[QE1: related]]="partial",G$1*0.5,0))+IF(Table2[[#This Row],[QE2: method]]="full",H$1,IF(Table2[[#This Row],[QE2: method]]="partial",H$1*0.5,0))+IF(Table2[[#This Row],[QE3: l+m]]="full",I$1,IF(Table2[[#This Row],[QE3: l+m]]="partial",I$1*0.5,0))+IF(Table2[[#This Row],[QE4: hw+sw]]="full",J$1,IF(Table2[[#This Row],[QE4: hw+sw]]="partial",J$1*0.5,0))+IF(Table2[[#This Row],[QE5: long]]="full",K$1,IF(Table2[[#This Row],[QE5: long]]="partial",K$1*0.5,0))+IF(Table2[[#This Row],[QE6: others]]="full",L$1,IF(Table2[[#This Row],[QE6: others]]="partial",L$1*0.5,0))+IF(Table2[[#This Row],[QE7: public]]="full",M$1,IF(Table2[[#This Row],[QE7: public]]="partial",M$1*0.5,0))+IF(Table2[[#This Row],[QE8: results]]="full",N$1,IF(Table2[[#This Row],[QE8: results]]="partial",N$1*0.5,0))</f>
        <v>0</v>
      </c>
      <c r="P28" t="str">
        <f>IF(OR(Table2[[#This Row],[QE2: method]]="none",Table2[[#This Row],[QE3: l+m]]="none",Table2[[#This Row],[QE5: long]]="none",Table2[[#This Row],[QE8: results]]="none"),"reject","ok")</f>
        <v>reject</v>
      </c>
      <c r="Q28" s="5" t="str">
        <f>IF(Table2[[#This Row],[QE score]]&lt;=$Q$1,"reject","ok")</f>
        <v>reject</v>
      </c>
      <c r="R28" s="5" t="str">
        <f>IF(AND(Table2[[#This Row],[QE R1:
QE2/3/5/8]] &lt;&gt; "reject", Table2[[#This Row],[QE R2:
cut-off]] &lt;&gt; "reject"),"yes","no")</f>
        <v>no</v>
      </c>
    </row>
    <row r="29" spans="1:18" x14ac:dyDescent="0.2">
      <c r="A29" t="s">
        <v>201</v>
      </c>
      <c r="B29" t="s">
        <v>202</v>
      </c>
      <c r="C29" s="5" t="s">
        <v>23</v>
      </c>
      <c r="D29" s="5" t="s">
        <v>205</v>
      </c>
      <c r="E29" s="14" t="s">
        <v>373</v>
      </c>
      <c r="F29">
        <f>Table2[[#This Row],[QE score]]</f>
        <v>7</v>
      </c>
      <c r="G29" t="s">
        <v>94</v>
      </c>
      <c r="H29" t="s">
        <v>93</v>
      </c>
      <c r="I29" t="s">
        <v>93</v>
      </c>
      <c r="J29" t="s">
        <v>92</v>
      </c>
      <c r="K29" t="s">
        <v>92</v>
      </c>
      <c r="L29" t="s">
        <v>92</v>
      </c>
      <c r="M29" t="s">
        <v>92</v>
      </c>
      <c r="N29" t="s">
        <v>93</v>
      </c>
      <c r="O29">
        <f>IF(Table2[[#This Row],[QE1: related]]="full",G$1,IF(Table2[[#This Row],[QE1: related]]="partial",G$1*0.5,0))+IF(Table2[[#This Row],[QE2: method]]="full",H$1,IF(Table2[[#This Row],[QE2: method]]="partial",H$1*0.5,0))+IF(Table2[[#This Row],[QE3: l+m]]="full",I$1,IF(Table2[[#This Row],[QE3: l+m]]="partial",I$1*0.5,0))+IF(Table2[[#This Row],[QE4: hw+sw]]="full",J$1,IF(Table2[[#This Row],[QE4: hw+sw]]="partial",J$1*0.5,0))+IF(Table2[[#This Row],[QE5: long]]="full",K$1,IF(Table2[[#This Row],[QE5: long]]="partial",K$1*0.5,0))+IF(Table2[[#This Row],[QE6: others]]="full",L$1,IF(Table2[[#This Row],[QE6: others]]="partial",L$1*0.5,0))+IF(Table2[[#This Row],[QE7: public]]="full",M$1,IF(Table2[[#This Row],[QE7: public]]="partial",M$1*0.5,0))+IF(Table2[[#This Row],[QE8: results]]="full",N$1,IF(Table2[[#This Row],[QE8: results]]="partial",N$1*0.5,0))</f>
        <v>7</v>
      </c>
      <c r="P29" t="str">
        <f>IF(OR(Table2[[#This Row],[QE2: method]]="none",Table2[[#This Row],[QE3: l+m]]="none",Table2[[#This Row],[QE5: long]]="none",Table2[[#This Row],[QE8: results]]="none"),"reject","ok")</f>
        <v>ok</v>
      </c>
      <c r="Q29" s="5" t="str">
        <f>IF(Table2[[#This Row],[QE score]]&lt;=$Q$1,"reject","ok")</f>
        <v>reject</v>
      </c>
      <c r="R29" s="5" t="str">
        <f>IF(AND(Table2[[#This Row],[QE R1:
QE2/3/5/8]] &lt;&gt; "reject", Table2[[#This Row],[QE R2:
cut-off]] &lt;&gt; "reject"),"yes","no")</f>
        <v>no</v>
      </c>
    </row>
    <row r="30" spans="1:18" x14ac:dyDescent="0.2">
      <c r="A30" t="s">
        <v>227</v>
      </c>
      <c r="B30" t="s">
        <v>228</v>
      </c>
      <c r="C30" s="5" t="s">
        <v>23</v>
      </c>
      <c r="D30" s="5" t="s">
        <v>231</v>
      </c>
      <c r="E30" s="14" t="s">
        <v>376</v>
      </c>
      <c r="F30">
        <f>Table2[[#This Row],[QE score]]</f>
        <v>6</v>
      </c>
      <c r="G30" t="s">
        <v>94</v>
      </c>
      <c r="H30" t="s">
        <v>93</v>
      </c>
      <c r="I30" t="s">
        <v>92</v>
      </c>
      <c r="J30" t="s">
        <v>92</v>
      </c>
      <c r="K30" t="s">
        <v>94</v>
      </c>
      <c r="L30" t="s">
        <v>92</v>
      </c>
      <c r="M30" t="s">
        <v>92</v>
      </c>
      <c r="N30" t="s">
        <v>93</v>
      </c>
      <c r="O30">
        <f>IF(Table2[[#This Row],[QE1: related]]="full",G$1,IF(Table2[[#This Row],[QE1: related]]="partial",G$1*0.5,0))+IF(Table2[[#This Row],[QE2: method]]="full",H$1,IF(Table2[[#This Row],[QE2: method]]="partial",H$1*0.5,0))+IF(Table2[[#This Row],[QE3: l+m]]="full",I$1,IF(Table2[[#This Row],[QE3: l+m]]="partial",I$1*0.5,0))+IF(Table2[[#This Row],[QE4: hw+sw]]="full",J$1,IF(Table2[[#This Row],[QE4: hw+sw]]="partial",J$1*0.5,0))+IF(Table2[[#This Row],[QE5: long]]="full",K$1,IF(Table2[[#This Row],[QE5: long]]="partial",K$1*0.5,0))+IF(Table2[[#This Row],[QE6: others]]="full",L$1,IF(Table2[[#This Row],[QE6: others]]="partial",L$1*0.5,0))+IF(Table2[[#This Row],[QE7: public]]="full",M$1,IF(Table2[[#This Row],[QE7: public]]="partial",M$1*0.5,0))+IF(Table2[[#This Row],[QE8: results]]="full",N$1,IF(Table2[[#This Row],[QE8: results]]="partial",N$1*0.5,0))</f>
        <v>6</v>
      </c>
      <c r="P30" t="str">
        <f>IF(OR(Table2[[#This Row],[QE2: method]]="none",Table2[[#This Row],[QE3: l+m]]="none",Table2[[#This Row],[QE5: long]]="none",Table2[[#This Row],[QE8: results]]="none"),"reject","ok")</f>
        <v>reject</v>
      </c>
      <c r="Q30" s="5" t="str">
        <f>IF(Table2[[#This Row],[QE score]]&lt;=$Q$1,"reject","ok")</f>
        <v>reject</v>
      </c>
      <c r="R30" s="5" t="str">
        <f>IF(AND(Table2[[#This Row],[QE R1:
QE2/3/5/8]] &lt;&gt; "reject", Table2[[#This Row],[QE R2:
cut-off]] &lt;&gt; "reject"),"yes","no")</f>
        <v>no</v>
      </c>
    </row>
    <row r="31" spans="1:18" x14ac:dyDescent="0.2">
      <c r="A31" t="s">
        <v>63</v>
      </c>
      <c r="B31" t="s">
        <v>53</v>
      </c>
      <c r="C31" s="5" t="s">
        <v>23</v>
      </c>
      <c r="D31" s="5" t="s">
        <v>54</v>
      </c>
      <c r="E31" s="14" t="s">
        <v>367</v>
      </c>
      <c r="F31">
        <f>Table2[[#This Row],[QE score]]</f>
        <v>7.5</v>
      </c>
      <c r="G31" t="s">
        <v>93</v>
      </c>
      <c r="H31" t="s">
        <v>93</v>
      </c>
      <c r="I31" t="s">
        <v>92</v>
      </c>
      <c r="J31" t="s">
        <v>92</v>
      </c>
      <c r="K31" t="s">
        <v>92</v>
      </c>
      <c r="L31" t="s">
        <v>92</v>
      </c>
      <c r="M31" t="s">
        <v>94</v>
      </c>
      <c r="N31" t="s">
        <v>93</v>
      </c>
      <c r="O31">
        <f>IF(Table2[[#This Row],[QE1: related]]="full",G$1,IF(Table2[[#This Row],[QE1: related]]="partial",G$1*0.5,0))+IF(Table2[[#This Row],[QE2: method]]="full",H$1,IF(Table2[[#This Row],[QE2: method]]="partial",H$1*0.5,0))+IF(Table2[[#This Row],[QE3: l+m]]="full",I$1,IF(Table2[[#This Row],[QE3: l+m]]="partial",I$1*0.5,0))+IF(Table2[[#This Row],[QE4: hw+sw]]="full",J$1,IF(Table2[[#This Row],[QE4: hw+sw]]="partial",J$1*0.5,0))+IF(Table2[[#This Row],[QE5: long]]="full",K$1,IF(Table2[[#This Row],[QE5: long]]="partial",K$1*0.5,0))+IF(Table2[[#This Row],[QE6: others]]="full",L$1,IF(Table2[[#This Row],[QE6: others]]="partial",L$1*0.5,0))+IF(Table2[[#This Row],[QE7: public]]="full",M$1,IF(Table2[[#This Row],[QE7: public]]="partial",M$1*0.5,0))+IF(Table2[[#This Row],[QE8: results]]="full",N$1,IF(Table2[[#This Row],[QE8: results]]="partial",N$1*0.5,0))</f>
        <v>7.5</v>
      </c>
      <c r="P31" t="str">
        <f>IF(OR(Table2[[#This Row],[QE2: method]]="none",Table2[[#This Row],[QE3: l+m]]="none",Table2[[#This Row],[QE5: long]]="none",Table2[[#This Row],[QE8: results]]="none"),"reject","ok")</f>
        <v>ok</v>
      </c>
      <c r="Q31" s="5" t="str">
        <f>IF(Table2[[#This Row],[QE score]]&lt;=$Q$1,"reject","ok")</f>
        <v>reject</v>
      </c>
      <c r="R31" s="5" t="str">
        <f>IF(AND(Table2[[#This Row],[QE R1:
QE2/3/5/8]] &lt;&gt; "reject", Table2[[#This Row],[QE R2:
cut-off]] &lt;&gt; "reject"),"yes","no")</f>
        <v>no</v>
      </c>
    </row>
  </sheetData>
  <phoneticPr fontId="5" type="noConversion"/>
  <conditionalFormatting sqref="F3:F31">
    <cfRule type="expression" dxfId="6" priority="1">
      <formula>$F3=$O3</formula>
    </cfRule>
  </conditionalFormatting>
  <conditionalFormatting sqref="G3:N31">
    <cfRule type="cellIs" dxfId="5" priority="6" operator="equal">
      <formula>"full"</formula>
    </cfRule>
    <cfRule type="cellIs" dxfId="4" priority="7" operator="equal">
      <formula>"partial"</formula>
    </cfRule>
    <cfRule type="cellIs" dxfId="3" priority="8" operator="equal">
      <formula>"none"</formula>
    </cfRule>
  </conditionalFormatting>
  <conditionalFormatting sqref="O3:R31">
    <cfRule type="expression" dxfId="2" priority="4">
      <formula>$R3="yes"</formula>
    </cfRule>
    <cfRule type="expression" dxfId="1" priority="5">
      <formula>$R3="no"</formula>
    </cfRule>
  </conditionalFormatting>
  <conditionalFormatting sqref="F3:R31">
    <cfRule type="expression" dxfId="0" priority="2">
      <formula>$F3&lt;&gt;$O3</formula>
    </cfRule>
  </conditionalFormatting>
  <hyperlinks>
    <hyperlink ref="E8" r:id="rId1" xr:uid="{C701380C-7362-4FCE-890F-05A1237B6E7E}"/>
    <hyperlink ref="E14" r:id="rId2" xr:uid="{868A804E-D793-45C4-8C9E-7365B15544B7}"/>
    <hyperlink ref="E31" r:id="rId3" xr:uid="{8D0A991A-BB8C-480F-8886-5ADF17633836}"/>
    <hyperlink ref="E3" r:id="rId4" xr:uid="{A0DD27D0-CA36-4CB0-8073-77BB4B3A6098}"/>
    <hyperlink ref="E23" r:id="rId5" xr:uid="{D4A4BE2B-9DD5-435A-9249-D56AFD480B7C}"/>
    <hyperlink ref="E18" r:id="rId6" xr:uid="{EFB9915A-7E76-4FBF-92A2-3359780929B5}"/>
    <hyperlink ref="E22" r:id="rId7" xr:uid="{A6461E8C-25F3-49F4-BE64-9884D3DD6FBF}"/>
    <hyperlink ref="E16" r:id="rId8" xr:uid="{6A0145BA-A71E-43FD-8546-C62DF03FADE4}"/>
    <hyperlink ref="E9" r:id="rId9" xr:uid="{0954FADA-A081-4555-881D-26C2C9018669}"/>
    <hyperlink ref="E29" r:id="rId10" xr:uid="{55DB8388-D16E-4912-AD65-4C33490CA46E}"/>
    <hyperlink ref="E20" r:id="rId11" xr:uid="{7A13338A-327D-41D0-AA1B-BA491BBF8141}"/>
    <hyperlink ref="E25" r:id="rId12" xr:uid="{6C95EA31-11B7-4CC9-8AFA-F3AF410F838C}"/>
    <hyperlink ref="E30" r:id="rId13" xr:uid="{20F4F1EB-3639-449B-9445-D90A33744BB1}"/>
    <hyperlink ref="E4" r:id="rId14" xr:uid="{2BFFBC0A-5B2D-42AA-92DA-D009BDBDE9F7}"/>
    <hyperlink ref="E19" r:id="rId15" xr:uid="{CCFFBECD-B20B-41A3-B3EB-F5409E59CDF5}"/>
    <hyperlink ref="E28" r:id="rId16" xr:uid="{5380D309-9E81-4E4D-8C9C-21DC7152520F}"/>
    <hyperlink ref="E15" r:id="rId17" xr:uid="{71FEC21B-5406-46CA-977D-2FB3C98384C0}"/>
    <hyperlink ref="E13" r:id="rId18" xr:uid="{221D605E-537D-48C0-B99C-9BD630803441}"/>
    <hyperlink ref="E7" r:id="rId19" xr:uid="{4CB16497-66AD-472C-8E4E-A2C1586F7E4D}"/>
    <hyperlink ref="E24" r:id="rId20" xr:uid="{B4209E08-6A26-4E6C-9849-CA1DB3CC7810}"/>
    <hyperlink ref="E6" r:id="rId21" xr:uid="{414C0BBB-C8AE-40A9-82BF-F6C519EEB0D6}"/>
    <hyperlink ref="E11" r:id="rId22" xr:uid="{B415C92C-0A8D-4B4F-ABC0-F692A64E4303}"/>
    <hyperlink ref="E5" r:id="rId23" xr:uid="{4332E9A0-301A-4295-A4C0-FCF0B27B6CA5}"/>
    <hyperlink ref="E26" r:id="rId24" xr:uid="{9EE0E5EC-5192-48D6-BA8A-4A42DF2D83F5}"/>
    <hyperlink ref="E21" r:id="rId25" xr:uid="{039C7DF1-01A1-4931-B656-D5DE945150FA}"/>
    <hyperlink ref="E17" r:id="rId26" xr:uid="{9C69FA90-10FC-4647-A3EE-CD252B4B125A}"/>
    <hyperlink ref="E27" r:id="rId27" xr:uid="{A3EF606F-C0F9-412D-9C43-AF354555F90A}"/>
    <hyperlink ref="E10" r:id="rId28" xr:uid="{40FBCED4-9660-4263-8F36-209CB3B3C733}"/>
    <hyperlink ref="E12" r:id="rId29" xr:uid="{E345D5AD-92C5-447F-9377-C22A16DED340}"/>
  </hyperlinks>
  <pageMargins left="0.7" right="0.7" top="0.75" bottom="0.75" header="0.3" footer="0.3"/>
  <pageSetup paperSize="9" orientation="portrait" r:id="rId30"/>
  <legacyDrawing r:id="rId31"/>
  <tableParts count="1">
    <tablePart r:id="rId32"/>
  </tableParts>
  <extLst>
    <ext xmlns:x14="http://schemas.microsoft.com/office/spreadsheetml/2009/9/main" uri="{CCE6A557-97BC-4b89-ADB6-D9C93CAAB3DF}">
      <x14:dataValidations xmlns:xm="http://schemas.microsoft.com/office/excel/2006/main" count="1">
        <x14:dataValidation type="list" allowBlank="1" showInputMessage="1" showErrorMessage="1" xr:uid="{4C922790-93F0-47C5-AB03-A3EA209555F1}">
          <x14:formula1>
            <xm:f>Analysis!$A$2:$A$4</xm:f>
          </x14:formula1>
          <xm:sqref>G3:N31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CC010-3585-447F-ACB4-C01A0F7A7EBA}">
  <dimension ref="A1:P52"/>
  <sheetViews>
    <sheetView workbookViewId="0"/>
  </sheetViews>
  <sheetFormatPr defaultRowHeight="12.75" x14ac:dyDescent="0.2"/>
  <cols>
    <col min="1" max="1" width="13" bestFit="1" customWidth="1"/>
    <col min="3" max="3" width="12.28515625" bestFit="1" customWidth="1"/>
    <col min="4" max="4" width="11" bestFit="1" customWidth="1"/>
    <col min="5" max="5" width="10" bestFit="1" customWidth="1"/>
    <col min="6" max="6" width="11.7109375" customWidth="1"/>
    <col min="7" max="7" width="16.28515625" bestFit="1" customWidth="1"/>
    <col min="8" max="8" width="12" bestFit="1" customWidth="1"/>
    <col min="9" max="9" width="13.7109375" bestFit="1" customWidth="1"/>
    <col min="11" max="11" width="8.85546875" customWidth="1"/>
    <col min="12" max="12" width="12.28515625" bestFit="1" customWidth="1"/>
    <col min="13" max="13" width="12" bestFit="1" customWidth="1"/>
  </cols>
  <sheetData>
    <row r="1" spans="1:14" x14ac:dyDescent="0.2">
      <c r="A1" s="3" t="s">
        <v>91</v>
      </c>
      <c r="C1" s="3" t="s">
        <v>96</v>
      </c>
      <c r="D1" s="3" t="s">
        <v>97</v>
      </c>
      <c r="F1" s="3" t="s">
        <v>99</v>
      </c>
      <c r="L1" s="3" t="s">
        <v>96</v>
      </c>
      <c r="M1" s="3" t="s">
        <v>126</v>
      </c>
      <c r="N1" s="3" t="s">
        <v>114</v>
      </c>
    </row>
    <row r="2" spans="1:14" x14ac:dyDescent="0.2">
      <c r="A2" s="4" t="s">
        <v>92</v>
      </c>
      <c r="C2">
        <v>0</v>
      </c>
      <c r="D2">
        <f>COUNTIF(Table2[QE parsifal],Table3[[#This Row],[QE scores]])</f>
        <v>2</v>
      </c>
      <c r="F2" s="7" t="s">
        <v>100</v>
      </c>
      <c r="I2">
        <v>7.5</v>
      </c>
      <c r="L2">
        <v>10</v>
      </c>
      <c r="M2">
        <f>COUNTIF(Table2[QE parsifal],"&gt;=" &amp; Table5[[#This Row],[QE scores]])</f>
        <v>0</v>
      </c>
      <c r="N2" s="9">
        <f>Table5[[#This Row],[cumul '#]]/$D$23</f>
        <v>0</v>
      </c>
    </row>
    <row r="3" spans="1:14" x14ac:dyDescent="0.2">
      <c r="A3" s="4" t="s">
        <v>93</v>
      </c>
      <c r="C3">
        <v>0.5</v>
      </c>
      <c r="D3">
        <f>COUNTIF(Table2[QE parsifal],Table3[[#This Row],[QE scores]])</f>
        <v>0</v>
      </c>
      <c r="L3">
        <v>9.5</v>
      </c>
      <c r="M3">
        <f>COUNTIF(Table2[QE parsifal],"&gt;=" &amp; Table5[[#This Row],[QE scores]])</f>
        <v>1</v>
      </c>
      <c r="N3" s="9">
        <f>Table5[[#This Row],[cumul '#]]/$D$23</f>
        <v>3.4482758620689655E-2</v>
      </c>
    </row>
    <row r="4" spans="1:14" x14ac:dyDescent="0.2">
      <c r="A4" s="4" t="s">
        <v>94</v>
      </c>
      <c r="C4">
        <v>1</v>
      </c>
      <c r="D4">
        <f>COUNTIF(Table2[QE parsifal],Table3[[#This Row],[QE scores]])</f>
        <v>0</v>
      </c>
      <c r="F4" s="7" t="s">
        <v>108</v>
      </c>
      <c r="L4">
        <v>9</v>
      </c>
      <c r="M4">
        <f>COUNTIF(Table2[QE parsifal],"&gt;=" &amp; Table5[[#This Row],[QE scores]])</f>
        <v>4</v>
      </c>
      <c r="N4" s="9">
        <f>Table5[[#This Row],[cumul '#]]/$D$23</f>
        <v>0.13793103448275862</v>
      </c>
    </row>
    <row r="5" spans="1:14" x14ac:dyDescent="0.2">
      <c r="C5">
        <v>1.5</v>
      </c>
      <c r="D5">
        <f>COUNTIF(Table2[QE parsifal],Table3[[#This Row],[QE scores]])</f>
        <v>0</v>
      </c>
      <c r="F5" s="8" t="s">
        <v>102</v>
      </c>
      <c r="I5">
        <f>SUMIF(Table3[QE scores],"&gt;"&amp;$I$2,Table3['#records])</f>
        <v>13</v>
      </c>
      <c r="J5" s="9">
        <f>I5/SUM(Table3['#records])</f>
        <v>0.44827586206896552</v>
      </c>
      <c r="L5">
        <v>8.5</v>
      </c>
      <c r="M5">
        <f>COUNTIF(Table2[QE parsifal],"&gt;=" &amp; Table5[[#This Row],[QE scores]])</f>
        <v>10</v>
      </c>
      <c r="N5" s="9">
        <f>Table5[[#This Row],[cumul '#]]/$D$23</f>
        <v>0.34482758620689657</v>
      </c>
    </row>
    <row r="6" spans="1:14" x14ac:dyDescent="0.2">
      <c r="C6">
        <v>2</v>
      </c>
      <c r="D6">
        <f>COUNTIF(Table2[QE parsifal],Table3[[#This Row],[QE scores]])</f>
        <v>0</v>
      </c>
      <c r="F6" s="8" t="s">
        <v>101</v>
      </c>
      <c r="I6">
        <f>SUMIF(Table3[QE scores],"&lt;="&amp;$I$2,Table3['#records])</f>
        <v>16</v>
      </c>
      <c r="J6" s="9">
        <f>I6/SUM(Table3['#records])</f>
        <v>0.55172413793103448</v>
      </c>
      <c r="L6">
        <v>8</v>
      </c>
      <c r="M6">
        <f>COUNTIF(Table2[QE parsifal],"&gt;=" &amp; Table5[[#This Row],[QE scores]])</f>
        <v>13</v>
      </c>
      <c r="N6" s="9">
        <f>Table5[[#This Row],[cumul '#]]/$D$23</f>
        <v>0.44827586206896552</v>
      </c>
    </row>
    <row r="7" spans="1:14" x14ac:dyDescent="0.2">
      <c r="C7">
        <v>2.5</v>
      </c>
      <c r="D7">
        <f>COUNTIF(Table2[QE parsifal],Table3[[#This Row],[QE scores]])</f>
        <v>0</v>
      </c>
      <c r="L7">
        <v>7.5</v>
      </c>
      <c r="M7">
        <f>COUNTIF(Table2[QE parsifal],"&gt;=" &amp; Table5[[#This Row],[QE scores]])</f>
        <v>18</v>
      </c>
      <c r="N7" s="9">
        <f>Table5[[#This Row],[cumul '#]]/$D$23</f>
        <v>0.62068965517241381</v>
      </c>
    </row>
    <row r="8" spans="1:14" x14ac:dyDescent="0.2">
      <c r="C8">
        <v>3</v>
      </c>
      <c r="D8">
        <f>COUNTIF(Table2[QE parsifal],Table3[[#This Row],[QE scores]])</f>
        <v>1</v>
      </c>
      <c r="F8" s="7" t="s">
        <v>107</v>
      </c>
      <c r="L8">
        <v>7</v>
      </c>
      <c r="M8">
        <f>COUNTIF(Table2[QE parsifal],"&gt;=" &amp; Table5[[#This Row],[QE scores]])</f>
        <v>21</v>
      </c>
      <c r="N8" s="9">
        <f>Table5[[#This Row],[cumul '#]]/$D$23</f>
        <v>0.72413793103448276</v>
      </c>
    </row>
    <row r="9" spans="1:14" x14ac:dyDescent="0.2">
      <c r="C9">
        <v>3.5</v>
      </c>
      <c r="D9">
        <f>COUNTIF(Table2[QE parsifal],Table3[[#This Row],[QE scores]])</f>
        <v>0</v>
      </c>
      <c r="F9" s="8" t="s">
        <v>102</v>
      </c>
      <c r="I9">
        <f>COUNTIF(Table2[include?],"=yes")</f>
        <v>13</v>
      </c>
      <c r="J9" s="9">
        <f>I9/SUM(Table3['#records])</f>
        <v>0.44827586206896552</v>
      </c>
      <c r="L9">
        <v>6.5</v>
      </c>
      <c r="M9">
        <f>COUNTIF(Table2[QE parsifal],"&gt;=" &amp; Table5[[#This Row],[QE scores]])</f>
        <v>22</v>
      </c>
      <c r="N9" s="9">
        <f>Table5[[#This Row],[cumul '#]]/$D$23</f>
        <v>0.75862068965517238</v>
      </c>
    </row>
    <row r="10" spans="1:14" x14ac:dyDescent="0.2">
      <c r="C10">
        <v>4</v>
      </c>
      <c r="D10">
        <f>COUNTIF(Table2[QE parsifal],Table3[[#This Row],[QE scores]])</f>
        <v>1</v>
      </c>
      <c r="F10" s="8" t="s">
        <v>101</v>
      </c>
      <c r="I10">
        <f>I12+I11</f>
        <v>16</v>
      </c>
      <c r="J10" s="9">
        <f>I10/SUM(Table3['#records])</f>
        <v>0.55172413793103448</v>
      </c>
      <c r="L10">
        <v>6</v>
      </c>
      <c r="M10">
        <f>COUNTIF(Table2[QE parsifal],"&gt;=" &amp; Table5[[#This Row],[QE scores]])</f>
        <v>24</v>
      </c>
      <c r="N10" s="9">
        <f>Table5[[#This Row],[cumul '#]]/$D$23</f>
        <v>0.82758620689655171</v>
      </c>
    </row>
    <row r="11" spans="1:14" x14ac:dyDescent="0.2">
      <c r="C11">
        <v>4.5</v>
      </c>
      <c r="D11">
        <f>COUNTIF(Table2[QE parsifal],Table3[[#This Row],[QE scores]])</f>
        <v>0</v>
      </c>
      <c r="F11" s="8" t="s">
        <v>109</v>
      </c>
      <c r="I11">
        <f>COUNTIF(Table2[QE R1:
QE2/3/5/8],"reject")</f>
        <v>8</v>
      </c>
      <c r="J11" s="9">
        <f>I11/SUM(Table3['#records])</f>
        <v>0.27586206896551724</v>
      </c>
      <c r="L11">
        <v>5.5</v>
      </c>
      <c r="M11">
        <f>COUNTIF(Table2[QE parsifal],"&gt;=" &amp; Table5[[#This Row],[QE scores]])</f>
        <v>24</v>
      </c>
      <c r="N11" s="9">
        <f>Table5[[#This Row],[cumul '#]]/$D$23</f>
        <v>0.82758620689655171</v>
      </c>
    </row>
    <row r="12" spans="1:14" x14ac:dyDescent="0.2">
      <c r="C12">
        <v>5</v>
      </c>
      <c r="D12">
        <f>COUNTIF(Table2[QE parsifal],Table3[[#This Row],[QE scores]])</f>
        <v>1</v>
      </c>
      <c r="F12" s="8" t="s">
        <v>110</v>
      </c>
      <c r="I12">
        <f>COUNTIFS(Table2[QE R1:
QE2/3/5/8],"ok",Table2[QE R2:
cut-off],"reject")</f>
        <v>8</v>
      </c>
      <c r="J12" s="9">
        <f>I12/SUM(Table3['#records])</f>
        <v>0.27586206896551724</v>
      </c>
      <c r="L12">
        <v>5</v>
      </c>
      <c r="M12">
        <f>COUNTIF(Table2[QE parsifal],"&gt;=" &amp; Table5[[#This Row],[QE scores]])</f>
        <v>25</v>
      </c>
      <c r="N12" s="9">
        <f>Table5[[#This Row],[cumul '#]]/$D$23</f>
        <v>0.86206896551724133</v>
      </c>
    </row>
    <row r="13" spans="1:14" x14ac:dyDescent="0.2">
      <c r="C13">
        <v>5.5</v>
      </c>
      <c r="D13">
        <f>COUNTIF(Table2[QE parsifal],Table3[[#This Row],[QE scores]])</f>
        <v>0</v>
      </c>
      <c r="L13">
        <v>4.5</v>
      </c>
      <c r="M13">
        <f>COUNTIF(Table2[QE parsifal],"&gt;=" &amp; Table5[[#This Row],[QE scores]])</f>
        <v>25</v>
      </c>
      <c r="N13" s="9">
        <f>Table5[[#This Row],[cumul '#]]/$D$23</f>
        <v>0.86206896551724133</v>
      </c>
    </row>
    <row r="14" spans="1:14" x14ac:dyDescent="0.2">
      <c r="C14">
        <v>6</v>
      </c>
      <c r="D14">
        <f>COUNTIF(Table2[QE parsifal],Table3[[#This Row],[QE scores]])</f>
        <v>2</v>
      </c>
      <c r="L14">
        <v>4</v>
      </c>
      <c r="M14">
        <f>COUNTIF(Table2[QE parsifal],"&gt;=" &amp; Table5[[#This Row],[QE scores]])</f>
        <v>26</v>
      </c>
      <c r="N14" s="9">
        <f>Table5[[#This Row],[cumul '#]]/$D$23</f>
        <v>0.89655172413793105</v>
      </c>
    </row>
    <row r="15" spans="1:14" x14ac:dyDescent="0.2">
      <c r="C15">
        <v>6.5</v>
      </c>
      <c r="D15">
        <f>COUNTIF(Table2[QE parsifal],Table3[[#This Row],[QE scores]])</f>
        <v>1</v>
      </c>
      <c r="L15">
        <v>3.5</v>
      </c>
      <c r="M15">
        <f>COUNTIF(Table2[QE parsifal],"&gt;=" &amp; Table5[[#This Row],[QE scores]])</f>
        <v>26</v>
      </c>
      <c r="N15" s="9">
        <f>Table5[[#This Row],[cumul '#]]/$D$23</f>
        <v>0.89655172413793105</v>
      </c>
    </row>
    <row r="16" spans="1:14" x14ac:dyDescent="0.2">
      <c r="C16">
        <v>7</v>
      </c>
      <c r="D16">
        <f>COUNTIF(Table2[QE parsifal],Table3[[#This Row],[QE scores]])</f>
        <v>3</v>
      </c>
      <c r="L16">
        <v>3</v>
      </c>
      <c r="M16">
        <f>COUNTIF(Table2[QE parsifal],"&gt;=" &amp; Table5[[#This Row],[QE scores]])</f>
        <v>27</v>
      </c>
      <c r="N16" s="9">
        <f>Table5[[#This Row],[cumul '#]]/$D$23</f>
        <v>0.93103448275862066</v>
      </c>
    </row>
    <row r="17" spans="3:16" x14ac:dyDescent="0.2">
      <c r="C17">
        <v>7.5</v>
      </c>
      <c r="D17">
        <f>COUNTIF(Table2[QE parsifal],Table3[[#This Row],[QE scores]])</f>
        <v>5</v>
      </c>
      <c r="L17">
        <v>2.5</v>
      </c>
      <c r="M17">
        <f>COUNTIF(Table2[QE parsifal],"&gt;=" &amp; Table5[[#This Row],[QE scores]])</f>
        <v>27</v>
      </c>
      <c r="N17" s="9">
        <f>Table5[[#This Row],[cumul '#]]/$D$23</f>
        <v>0.93103448275862066</v>
      </c>
    </row>
    <row r="18" spans="3:16" x14ac:dyDescent="0.2">
      <c r="C18">
        <v>8</v>
      </c>
      <c r="D18">
        <f>COUNTIF(Table2[QE parsifal],Table3[[#This Row],[QE scores]])</f>
        <v>3</v>
      </c>
      <c r="L18">
        <v>2</v>
      </c>
      <c r="M18">
        <f>COUNTIF(Table2[QE parsifal],"&gt;=" &amp; Table5[[#This Row],[QE scores]])</f>
        <v>27</v>
      </c>
      <c r="N18" s="9">
        <f>Table5[[#This Row],[cumul '#]]/$D$23</f>
        <v>0.93103448275862066</v>
      </c>
    </row>
    <row r="19" spans="3:16" x14ac:dyDescent="0.2">
      <c r="C19">
        <v>8.5</v>
      </c>
      <c r="D19">
        <f>COUNTIF(Table2[QE parsifal],Table3[[#This Row],[QE scores]])</f>
        <v>6</v>
      </c>
      <c r="L19">
        <v>1.5</v>
      </c>
      <c r="M19">
        <f>COUNTIF(Table2[QE parsifal],"&gt;=" &amp; Table5[[#This Row],[QE scores]])</f>
        <v>27</v>
      </c>
      <c r="N19" s="9">
        <f>Table5[[#This Row],[cumul '#]]/$D$23</f>
        <v>0.93103448275862066</v>
      </c>
    </row>
    <row r="20" spans="3:16" x14ac:dyDescent="0.2">
      <c r="C20">
        <v>9</v>
      </c>
      <c r="D20">
        <f>COUNTIF(Table2[QE parsifal],Table3[[#This Row],[QE scores]])</f>
        <v>3</v>
      </c>
      <c r="L20">
        <v>1</v>
      </c>
      <c r="M20">
        <f>COUNTIF(Table2[QE parsifal],"&gt;=" &amp; Table5[[#This Row],[QE scores]])</f>
        <v>27</v>
      </c>
      <c r="N20" s="9">
        <f>Table5[[#This Row],[cumul '#]]/$D$23</f>
        <v>0.93103448275862066</v>
      </c>
    </row>
    <row r="21" spans="3:16" x14ac:dyDescent="0.2">
      <c r="C21">
        <v>9.5</v>
      </c>
      <c r="D21">
        <f>COUNTIF(Table2[QE parsifal],Table3[[#This Row],[QE scores]])</f>
        <v>1</v>
      </c>
      <c r="L21">
        <v>0.5</v>
      </c>
      <c r="M21">
        <f>COUNTIF(Table2[QE parsifal],"&gt;=" &amp; Table5[[#This Row],[QE scores]])</f>
        <v>27</v>
      </c>
      <c r="N21" s="9">
        <f>Table5[[#This Row],[cumul '#]]/$D$23</f>
        <v>0.93103448275862066</v>
      </c>
    </row>
    <row r="22" spans="3:16" x14ac:dyDescent="0.2">
      <c r="C22">
        <v>10</v>
      </c>
      <c r="D22">
        <f>COUNTIF(Table2[QE parsifal],Table3[[#This Row],[QE scores]])</f>
        <v>0</v>
      </c>
      <c r="L22">
        <v>0</v>
      </c>
      <c r="M22">
        <f>COUNTIF(Table2[QE parsifal],"&gt;=" &amp; Table5[[#This Row],[QE scores]])</f>
        <v>29</v>
      </c>
      <c r="N22" s="9">
        <f>Table5[[#This Row],[cumul '#]]/$D$23</f>
        <v>1</v>
      </c>
    </row>
    <row r="23" spans="3:16" x14ac:dyDescent="0.2">
      <c r="C23" s="6" t="s">
        <v>98</v>
      </c>
      <c r="D23" s="5">
        <f>SUM(Table3['#records])</f>
        <v>29</v>
      </c>
      <c r="L23" s="6"/>
    </row>
    <row r="24" spans="3:16" x14ac:dyDescent="0.2">
      <c r="D24" s="5"/>
    </row>
    <row r="25" spans="3:16" x14ac:dyDescent="0.2">
      <c r="C25" s="3" t="s">
        <v>115</v>
      </c>
    </row>
    <row r="27" spans="3:16" x14ac:dyDescent="0.2">
      <c r="C27" s="3" t="s">
        <v>96</v>
      </c>
      <c r="D27" s="3" t="s">
        <v>97</v>
      </c>
      <c r="E27" s="11" t="s">
        <v>126</v>
      </c>
      <c r="F27" s="11" t="s">
        <v>125</v>
      </c>
      <c r="G27" s="11" t="s">
        <v>127</v>
      </c>
      <c r="H27" s="11" t="s">
        <v>128</v>
      </c>
      <c r="I27" s="11" t="s">
        <v>129</v>
      </c>
      <c r="J27" s="11" t="s">
        <v>120</v>
      </c>
      <c r="K27" s="11" t="s">
        <v>121</v>
      </c>
      <c r="L27" s="11" t="s">
        <v>122</v>
      </c>
      <c r="M27" s="11" t="s">
        <v>123</v>
      </c>
    </row>
    <row r="28" spans="3:16" x14ac:dyDescent="0.2">
      <c r="C28">
        <v>0</v>
      </c>
      <c r="D28">
        <f>COUNTIFS(Table2[QE parsifal],Table37[[#This Row],[QE scores]],Table2[QE R1:
QE2/3/5/8],"ok")</f>
        <v>0</v>
      </c>
      <c r="E28" s="5">
        <f>COUNTIFS(Table2[QE parsifal],"&gt;=" &amp; Table37[[#This Row],[QE scores]],Table2[QE R1:
QE2/3/5/8],"ok")</f>
        <v>21</v>
      </c>
      <c r="F28" s="9">
        <f>Table37[[#This Row],[cumul '#]]/$D$49</f>
        <v>1</v>
      </c>
      <c r="G28" s="9">
        <f>Table37[[#This Row],[cumul '#]]/$D$23</f>
        <v>0.72413793103448276</v>
      </c>
      <c r="H28" s="12">
        <f>COUNTIFS(Table2[QE parsifal],"&lt;=" &amp; Table37[[#This Row],[QE scores]],Table2[QE R1:
QE2/3/5/8],"ok")</f>
        <v>0</v>
      </c>
      <c r="I28" s="9">
        <f>Table37[[#This Row],[inv cuml '#]]/$D$49</f>
        <v>0</v>
      </c>
      <c r="J28" s="13">
        <f>Table37[[#This Row],['#records]]/$D$49</f>
        <v>0</v>
      </c>
      <c r="K28" s="13">
        <f>_xlfn.NORM.DIST(Table37[[#This Row],[QE scores]],$P$31,$P$32,FALSE)</f>
        <v>1.796348381452564E-25</v>
      </c>
      <c r="L28" s="12">
        <f>Table37[[#This Row],[^Y]]*$D$49</f>
        <v>3.7723316010503847E-24</v>
      </c>
      <c r="M28" s="9">
        <f>(Table37[[#This Row],[^'#records]]-Table37[[#This Row],['#records]])/$D$49</f>
        <v>1.7963483814525642E-25</v>
      </c>
      <c r="O28" s="4" t="s">
        <v>117</v>
      </c>
      <c r="P28" cm="1">
        <f t="array" ref="P28">SUM(Table37[QE scores]*Table37['#records])/$D$49</f>
        <v>8.0714285714285712</v>
      </c>
    </row>
    <row r="29" spans="3:16" x14ac:dyDescent="0.2">
      <c r="C29">
        <v>0.5</v>
      </c>
      <c r="D29">
        <f>COUNTIFS(Table2[QE parsifal],Table37[[#This Row],[QE scores]],Table2[QE R1:
QE2/3/5/8],"ok")</f>
        <v>0</v>
      </c>
      <c r="E29" s="5">
        <f>COUNTIFS(Table2[QE parsifal],"&gt;=" &amp; Table37[[#This Row],[QE scores]],Table2[QE R1:
QE2/3/5/8],"ok")</f>
        <v>21</v>
      </c>
      <c r="F29" s="9">
        <f>Table37[[#This Row],[cumul '#]]/$D$49</f>
        <v>1</v>
      </c>
      <c r="G29" s="9">
        <f>Table37[[#This Row],[cumul '#]]/$D$23</f>
        <v>0.72413793103448276</v>
      </c>
      <c r="H29" s="12">
        <f>COUNTIFS(Table2[QE parsifal],"&lt;=" &amp; Table37[[#This Row],[QE scores]],Table2[QE R1:
QE2/3/5/8],"ok")</f>
        <v>0</v>
      </c>
      <c r="I29" s="9">
        <f>Table37[[#This Row],[inv cuml '#]]/$D$49</f>
        <v>0</v>
      </c>
      <c r="J29" s="13">
        <f>Table37[[#This Row],['#records]]/$D$49</f>
        <v>0</v>
      </c>
      <c r="K29" s="13">
        <f>_xlfn.NORM.DIST(Table37[[#This Row],[QE scores]],$P$31,$P$32,FALSE)</f>
        <v>1.5546274617858815E-22</v>
      </c>
      <c r="L29" s="12">
        <f>Table37[[#This Row],[^Y]]*$D$49</f>
        <v>3.2647176697503511E-21</v>
      </c>
      <c r="M29" s="9">
        <f>(Table37[[#This Row],[^'#records]]-Table37[[#This Row],['#records]])/$D$49</f>
        <v>1.5546274617858815E-22</v>
      </c>
      <c r="O29" s="4"/>
    </row>
    <row r="30" spans="3:16" x14ac:dyDescent="0.2">
      <c r="C30">
        <v>1</v>
      </c>
      <c r="D30">
        <f>COUNTIFS(Table2[QE parsifal],Table37[[#This Row],[QE scores]],Table2[QE R1:
QE2/3/5/8],"ok")</f>
        <v>0</v>
      </c>
      <c r="E30" s="5">
        <f>COUNTIFS(Table2[QE parsifal],"&gt;=" &amp; Table37[[#This Row],[QE scores]],Table2[QE R1:
QE2/3/5/8],"ok")</f>
        <v>21</v>
      </c>
      <c r="F30" s="9">
        <f>Table37[[#This Row],[cumul '#]]/$D$49</f>
        <v>1</v>
      </c>
      <c r="G30" s="9">
        <f>Table37[[#This Row],[cumul '#]]/$D$23</f>
        <v>0.72413793103448276</v>
      </c>
      <c r="H30" s="12">
        <f>COUNTIFS(Table2[QE parsifal],"&lt;=" &amp; Table37[[#This Row],[QE scores]],Table2[QE R1:
QE2/3/5/8],"ok")</f>
        <v>0</v>
      </c>
      <c r="I30" s="9">
        <f>Table37[[#This Row],[inv cuml '#]]/$D$49</f>
        <v>0</v>
      </c>
      <c r="J30" s="13">
        <f>Table37[[#This Row],['#records]]/$D$49</f>
        <v>0</v>
      </c>
      <c r="K30" s="13">
        <f>_xlfn.NORM.DIST(Table37[[#This Row],[QE scores]],$P$31,$P$32,FALSE)</f>
        <v>8.7315954626204478E-20</v>
      </c>
      <c r="L30" s="12">
        <f>Table37[[#This Row],[^Y]]*$D$49</f>
        <v>1.833635047150294E-18</v>
      </c>
      <c r="M30" s="9">
        <f>(Table37[[#This Row],[^'#records]]-Table37[[#This Row],['#records]])/$D$49</f>
        <v>8.7315954626204478E-20</v>
      </c>
      <c r="O30" s="4" t="s">
        <v>119</v>
      </c>
    </row>
    <row r="31" spans="3:16" x14ac:dyDescent="0.2">
      <c r="C31">
        <v>1.5</v>
      </c>
      <c r="D31">
        <f>COUNTIFS(Table2[QE parsifal],Table37[[#This Row],[QE scores]],Table2[QE R1:
QE2/3/5/8],"ok")</f>
        <v>0</v>
      </c>
      <c r="E31" s="5">
        <f>COUNTIFS(Table2[QE parsifal],"&gt;=" &amp; Table37[[#This Row],[QE scores]],Table2[QE R1:
QE2/3/5/8],"ok")</f>
        <v>21</v>
      </c>
      <c r="F31" s="9">
        <f>Table37[[#This Row],[cumul '#]]/$D$49</f>
        <v>1</v>
      </c>
      <c r="G31" s="9">
        <f>Table37[[#This Row],[cumul '#]]/$D$23</f>
        <v>0.72413793103448276</v>
      </c>
      <c r="H31" s="12">
        <f>COUNTIFS(Table2[QE parsifal],"&lt;=" &amp; Table37[[#This Row],[QE scores]],Table2[QE R1:
QE2/3/5/8],"ok")</f>
        <v>0</v>
      </c>
      <c r="I31" s="9">
        <f>Table37[[#This Row],[inv cuml '#]]/$D$49</f>
        <v>0</v>
      </c>
      <c r="J31" s="13">
        <f>Table37[[#This Row],['#records]]/$D$49</f>
        <v>0</v>
      </c>
      <c r="K31" s="13">
        <f>_xlfn.NORM.DIST(Table37[[#This Row],[QE scores]],$P$31,$P$32,FALSE)</f>
        <v>3.1826756495701942E-17</v>
      </c>
      <c r="L31" s="12">
        <f>Table37[[#This Row],[^Y]]*$D$49</f>
        <v>6.6836188640974082E-16</v>
      </c>
      <c r="M31" s="9">
        <f>(Table37[[#This Row],[^'#records]]-Table37[[#This Row],['#records]])/$D$49</f>
        <v>3.1826756495701942E-17</v>
      </c>
      <c r="O31" s="4" t="s">
        <v>117</v>
      </c>
      <c r="P31">
        <f>AVERAGEIF(Table2[QE R1:
QE2/3/5/8],"ok",Table2[QE score])</f>
        <v>8.0714285714285712</v>
      </c>
    </row>
    <row r="32" spans="3:16" x14ac:dyDescent="0.2">
      <c r="C32">
        <v>2</v>
      </c>
      <c r="D32">
        <f>COUNTIFS(Table2[QE parsifal],Table37[[#This Row],[QE scores]],Table2[QE R1:
QE2/3/5/8],"ok")</f>
        <v>0</v>
      </c>
      <c r="E32" s="5">
        <f>COUNTIFS(Table2[QE parsifal],"&gt;=" &amp; Table37[[#This Row],[QE scores]],Table2[QE R1:
QE2/3/5/8],"ok")</f>
        <v>21</v>
      </c>
      <c r="F32" s="9">
        <f>Table37[[#This Row],[cumul '#]]/$D$49</f>
        <v>1</v>
      </c>
      <c r="G32" s="9">
        <f>Table37[[#This Row],[cumul '#]]/$D$23</f>
        <v>0.72413793103448276</v>
      </c>
      <c r="H32" s="12">
        <f>COUNTIFS(Table2[QE parsifal],"&lt;=" &amp; Table37[[#This Row],[QE scores]],Table2[QE R1:
QE2/3/5/8],"ok")</f>
        <v>0</v>
      </c>
      <c r="I32" s="9">
        <f>Table37[[#This Row],[inv cuml '#]]/$D$49</f>
        <v>0</v>
      </c>
      <c r="J32" s="13">
        <f>Table37[[#This Row],['#records]]/$D$49</f>
        <v>0</v>
      </c>
      <c r="K32" s="13">
        <f>_xlfn.NORM.DIST(Table37[[#This Row],[QE scores]],$P$31,$P$32,FALSE)</f>
        <v>7.5287462467266207E-15</v>
      </c>
      <c r="L32" s="12">
        <f>Table37[[#This Row],[^Y]]*$D$49</f>
        <v>1.5810367118125904E-13</v>
      </c>
      <c r="M32" s="9">
        <f>(Table37[[#This Row],[^'#records]]-Table37[[#This Row],['#records]])/$D$49</f>
        <v>7.5287462467266207E-15</v>
      </c>
      <c r="O32" s="4" t="s">
        <v>118</v>
      </c>
      <c r="P32" cm="1">
        <f t="array" ref="P32">_xlfn.STDEV.P(IF(Table2[QE R1:
QE2/3/5/8]="ok",Table2[QE score]))</f>
        <v>0.7604152106033959</v>
      </c>
    </row>
    <row r="33" spans="3:15" x14ac:dyDescent="0.2">
      <c r="C33">
        <v>2.5</v>
      </c>
      <c r="D33">
        <f>COUNTIFS(Table2[QE parsifal],Table37[[#This Row],[QE scores]],Table2[QE R1:
QE2/3/5/8],"ok")</f>
        <v>0</v>
      </c>
      <c r="E33" s="5">
        <f>COUNTIFS(Table2[QE parsifal],"&gt;=" &amp; Table37[[#This Row],[QE scores]],Table2[QE R1:
QE2/3/5/8],"ok")</f>
        <v>21</v>
      </c>
      <c r="F33" s="9">
        <f>Table37[[#This Row],[cumul '#]]/$D$49</f>
        <v>1</v>
      </c>
      <c r="G33" s="9">
        <f>Table37[[#This Row],[cumul '#]]/$D$23</f>
        <v>0.72413793103448276</v>
      </c>
      <c r="H33" s="12">
        <f>COUNTIFS(Table2[QE parsifal],"&lt;=" &amp; Table37[[#This Row],[QE scores]],Table2[QE R1:
QE2/3/5/8],"ok")</f>
        <v>0</v>
      </c>
      <c r="I33" s="9">
        <f>Table37[[#This Row],[inv cuml '#]]/$D$49</f>
        <v>0</v>
      </c>
      <c r="J33" s="13">
        <f>Table37[[#This Row],['#records]]/$D$49</f>
        <v>0</v>
      </c>
      <c r="K33" s="13">
        <f>_xlfn.NORM.DIST(Table37[[#This Row],[QE scores]],$P$31,$P$32,FALSE)</f>
        <v>1.1558046606322563E-12</v>
      </c>
      <c r="L33" s="12">
        <f>Table37[[#This Row],[^Y]]*$D$49</f>
        <v>2.4271897873277382E-11</v>
      </c>
      <c r="M33" s="9">
        <f>(Table37[[#This Row],[^'#records]]-Table37[[#This Row],['#records]])/$D$49</f>
        <v>1.1558046606322563E-12</v>
      </c>
    </row>
    <row r="34" spans="3:15" x14ac:dyDescent="0.2">
      <c r="C34">
        <v>3</v>
      </c>
      <c r="D34">
        <f>COUNTIFS(Table2[QE parsifal],Table37[[#This Row],[QE scores]],Table2[QE R1:
QE2/3/5/8],"ok")</f>
        <v>0</v>
      </c>
      <c r="E34" s="5">
        <f>COUNTIFS(Table2[QE parsifal],"&gt;=" &amp; Table37[[#This Row],[QE scores]],Table2[QE R1:
QE2/3/5/8],"ok")</f>
        <v>21</v>
      </c>
      <c r="F34" s="9">
        <f>Table37[[#This Row],[cumul '#]]/$D$49</f>
        <v>1</v>
      </c>
      <c r="G34" s="9">
        <f>Table37[[#This Row],[cumul '#]]/$D$23</f>
        <v>0.72413793103448276</v>
      </c>
      <c r="H34" s="12">
        <f>COUNTIFS(Table2[QE parsifal],"&lt;=" &amp; Table37[[#This Row],[QE scores]],Table2[QE R1:
QE2/3/5/8],"ok")</f>
        <v>0</v>
      </c>
      <c r="I34" s="9">
        <f>Table37[[#This Row],[inv cuml '#]]/$D$49</f>
        <v>0</v>
      </c>
      <c r="J34" s="13">
        <f>Table37[[#This Row],['#records]]/$D$49</f>
        <v>0</v>
      </c>
      <c r="K34" s="13">
        <f>_xlfn.NORM.DIST(Table37[[#This Row],[QE scores]],$P$31,$P$32,FALSE)</f>
        <v>1.1515365483246049E-10</v>
      </c>
      <c r="L34" s="12">
        <f>Table37[[#This Row],[^Y]]*$D$49</f>
        <v>2.4182267514816703E-9</v>
      </c>
      <c r="M34" s="9">
        <f>(Table37[[#This Row],[^'#records]]-Table37[[#This Row],['#records]])/$D$49</f>
        <v>1.1515365483246049E-10</v>
      </c>
      <c r="O34" s="4" t="s">
        <v>124</v>
      </c>
    </row>
    <row r="35" spans="3:15" x14ac:dyDescent="0.2">
      <c r="C35">
        <v>3.5</v>
      </c>
      <c r="D35">
        <f>COUNTIFS(Table2[QE parsifal],Table37[[#This Row],[QE scores]],Table2[QE R1:
QE2/3/5/8],"ok")</f>
        <v>0</v>
      </c>
      <c r="E35" s="5">
        <f>COUNTIFS(Table2[QE parsifal],"&gt;=" &amp; Table37[[#This Row],[QE scores]],Table2[QE R1:
QE2/3/5/8],"ok")</f>
        <v>21</v>
      </c>
      <c r="F35" s="9">
        <f>Table37[[#This Row],[cumul '#]]/$D$49</f>
        <v>1</v>
      </c>
      <c r="G35" s="9">
        <f>Table37[[#This Row],[cumul '#]]/$D$23</f>
        <v>0.72413793103448276</v>
      </c>
      <c r="H35" s="12">
        <f>COUNTIFS(Table2[QE parsifal],"&lt;=" &amp; Table37[[#This Row],[QE scores]],Table2[QE R1:
QE2/3/5/8],"ok")</f>
        <v>0</v>
      </c>
      <c r="I35" s="9">
        <f>Table37[[#This Row],[inv cuml '#]]/$D$49</f>
        <v>0</v>
      </c>
      <c r="J35" s="13">
        <f>Table37[[#This Row],['#records]]/$D$49</f>
        <v>0</v>
      </c>
      <c r="K35" s="13">
        <f>_xlfn.NORM.DIST(Table37[[#This Row],[QE scores]],$P$31,$P$32,FALSE)</f>
        <v>7.4456482454290509E-9</v>
      </c>
      <c r="L35" s="12">
        <f>Table37[[#This Row],[^Y]]*$D$49</f>
        <v>1.5635861315401007E-7</v>
      </c>
      <c r="M35" s="9">
        <f>(Table37[[#This Row],[^'#records]]-Table37[[#This Row],['#records]])/$D$49</f>
        <v>7.4456482454290509E-9</v>
      </c>
    </row>
    <row r="36" spans="3:15" x14ac:dyDescent="0.2">
      <c r="C36">
        <v>4</v>
      </c>
      <c r="D36">
        <f>COUNTIFS(Table2[QE parsifal],Table37[[#This Row],[QE scores]],Table2[QE R1:
QE2/3/5/8],"ok")</f>
        <v>0</v>
      </c>
      <c r="E36" s="5">
        <f>COUNTIFS(Table2[QE parsifal],"&gt;=" &amp; Table37[[#This Row],[QE scores]],Table2[QE R1:
QE2/3/5/8],"ok")</f>
        <v>21</v>
      </c>
      <c r="F36" s="9">
        <f>Table37[[#This Row],[cumul '#]]/$D$49</f>
        <v>1</v>
      </c>
      <c r="G36" s="9">
        <f>Table37[[#This Row],[cumul '#]]/$D$23</f>
        <v>0.72413793103448276</v>
      </c>
      <c r="H36" s="12">
        <f>COUNTIFS(Table2[QE parsifal],"&lt;=" &amp; Table37[[#This Row],[QE scores]],Table2[QE R1:
QE2/3/5/8],"ok")</f>
        <v>0</v>
      </c>
      <c r="I36" s="9">
        <f>Table37[[#This Row],[inv cuml '#]]/$D$49</f>
        <v>0</v>
      </c>
      <c r="J36" s="13">
        <f>Table37[[#This Row],['#records]]/$D$49</f>
        <v>0</v>
      </c>
      <c r="K36" s="13">
        <f>_xlfn.NORM.DIST(Table37[[#This Row],[QE scores]],$P$31,$P$32,FALSE)</f>
        <v>3.124343726101338E-7</v>
      </c>
      <c r="L36" s="12">
        <f>Table37[[#This Row],[^Y]]*$D$49</f>
        <v>6.5611218248128096E-6</v>
      </c>
      <c r="M36" s="9">
        <f>(Table37[[#This Row],[^'#records]]-Table37[[#This Row],['#records]])/$D$49</f>
        <v>3.124343726101338E-7</v>
      </c>
    </row>
    <row r="37" spans="3:15" x14ac:dyDescent="0.2">
      <c r="C37">
        <v>4.5</v>
      </c>
      <c r="D37">
        <f>COUNTIFS(Table2[QE parsifal],Table37[[#This Row],[QE scores]],Table2[QE R1:
QE2/3/5/8],"ok")</f>
        <v>0</v>
      </c>
      <c r="E37" s="5">
        <f>COUNTIFS(Table2[QE parsifal],"&gt;=" &amp; Table37[[#This Row],[QE scores]],Table2[QE R1:
QE2/3/5/8],"ok")</f>
        <v>21</v>
      </c>
      <c r="F37" s="9">
        <f>Table37[[#This Row],[cumul '#]]/$D$49</f>
        <v>1</v>
      </c>
      <c r="G37" s="9">
        <f>Table37[[#This Row],[cumul '#]]/$D$23</f>
        <v>0.72413793103448276</v>
      </c>
      <c r="H37" s="12">
        <f>COUNTIFS(Table2[QE parsifal],"&lt;=" &amp; Table37[[#This Row],[QE scores]],Table2[QE R1:
QE2/3/5/8],"ok")</f>
        <v>0</v>
      </c>
      <c r="I37" s="9">
        <f>Table37[[#This Row],[inv cuml '#]]/$D$49</f>
        <v>0</v>
      </c>
      <c r="J37" s="13">
        <f>Table37[[#This Row],['#records]]/$D$49</f>
        <v>0</v>
      </c>
      <c r="K37" s="13">
        <f>_xlfn.NORM.DIST(Table37[[#This Row],[QE scores]],$P$31,$P$32,FALSE)</f>
        <v>8.508374597278666E-6</v>
      </c>
      <c r="L37" s="12">
        <f>Table37[[#This Row],[^Y]]*$D$49</f>
        <v>1.7867586654285198E-4</v>
      </c>
      <c r="M37" s="9">
        <f>(Table37[[#This Row],[^'#records]]-Table37[[#This Row],['#records]])/$D$49</f>
        <v>8.508374597278666E-6</v>
      </c>
    </row>
    <row r="38" spans="3:15" x14ac:dyDescent="0.2">
      <c r="C38">
        <v>5</v>
      </c>
      <c r="D38">
        <f>COUNTIFS(Table2[QE parsifal],Table37[[#This Row],[QE scores]],Table2[QE R1:
QE2/3/5/8],"ok")</f>
        <v>0</v>
      </c>
      <c r="E38" s="5">
        <f>COUNTIFS(Table2[QE parsifal],"&gt;=" &amp; Table37[[#This Row],[QE scores]],Table2[QE R1:
QE2/3/5/8],"ok")</f>
        <v>21</v>
      </c>
      <c r="F38" s="9">
        <f>Table37[[#This Row],[cumul '#]]/$D$49</f>
        <v>1</v>
      </c>
      <c r="G38" s="9">
        <f>Table37[[#This Row],[cumul '#]]/$D$23</f>
        <v>0.72413793103448276</v>
      </c>
      <c r="H38" s="12">
        <f>COUNTIFS(Table2[QE parsifal],"&lt;=" &amp; Table37[[#This Row],[QE scores]],Table2[QE R1:
QE2/3/5/8],"ok")</f>
        <v>0</v>
      </c>
      <c r="I38" s="9">
        <f>Table37[[#This Row],[inv cuml '#]]/$D$49</f>
        <v>0</v>
      </c>
      <c r="J38" s="13">
        <f>Table37[[#This Row],['#records]]/$D$49</f>
        <v>0</v>
      </c>
      <c r="K38" s="13">
        <f>_xlfn.NORM.DIST(Table37[[#This Row],[QE scores]],$P$31,$P$32,FALSE)</f>
        <v>1.5037162779309895E-4</v>
      </c>
      <c r="L38" s="12">
        <f>Table37[[#This Row],[^Y]]*$D$49</f>
        <v>3.1578041836550779E-3</v>
      </c>
      <c r="M38" s="9">
        <f>(Table37[[#This Row],[^'#records]]-Table37[[#This Row],['#records]])/$D$49</f>
        <v>1.5037162779309895E-4</v>
      </c>
    </row>
    <row r="39" spans="3:15" x14ac:dyDescent="0.2">
      <c r="C39">
        <v>5.5</v>
      </c>
      <c r="D39">
        <f>COUNTIFS(Table2[QE parsifal],Table37[[#This Row],[QE scores]],Table2[QE R1:
QE2/3/5/8],"ok")</f>
        <v>0</v>
      </c>
      <c r="E39" s="5">
        <f>COUNTIFS(Table2[QE parsifal],"&gt;=" &amp; Table37[[#This Row],[QE scores]],Table2[QE R1:
QE2/3/5/8],"ok")</f>
        <v>21</v>
      </c>
      <c r="F39" s="9">
        <f>Table37[[#This Row],[cumul '#]]/$D$49</f>
        <v>1</v>
      </c>
      <c r="G39" s="9">
        <f>Table37[[#This Row],[cumul '#]]/$D$23</f>
        <v>0.72413793103448276</v>
      </c>
      <c r="H39" s="12">
        <f>COUNTIFS(Table2[QE parsifal],"&lt;=" &amp; Table37[[#This Row],[QE scores]],Table2[QE R1:
QE2/3/5/8],"ok")</f>
        <v>0</v>
      </c>
      <c r="I39" s="9">
        <f>Table37[[#This Row],[inv cuml '#]]/$D$49</f>
        <v>0</v>
      </c>
      <c r="J39" s="13">
        <f>Table37[[#This Row],['#records]]/$D$49</f>
        <v>0</v>
      </c>
      <c r="K39" s="13">
        <f>_xlfn.NORM.DIST(Table37[[#This Row],[QE scores]],$P$31,$P$32,FALSE)</f>
        <v>1.724712469251695E-3</v>
      </c>
      <c r="L39" s="12">
        <f>Table37[[#This Row],[^Y]]*$D$49</f>
        <v>3.6218961854285595E-2</v>
      </c>
      <c r="M39" s="9">
        <f>(Table37[[#This Row],[^'#records]]-Table37[[#This Row],['#records]])/$D$49</f>
        <v>1.724712469251695E-3</v>
      </c>
    </row>
    <row r="40" spans="3:15" x14ac:dyDescent="0.2">
      <c r="C40">
        <v>6</v>
      </c>
      <c r="D40">
        <f>COUNTIFS(Table2[QE parsifal],Table37[[#This Row],[QE scores]],Table2[QE R1:
QE2/3/5/8],"ok")</f>
        <v>0</v>
      </c>
      <c r="E40" s="5">
        <f>COUNTIFS(Table2[QE parsifal],"&gt;=" &amp; Table37[[#This Row],[QE scores]],Table2[QE R1:
QE2/3/5/8],"ok")</f>
        <v>21</v>
      </c>
      <c r="F40" s="9">
        <f>Table37[[#This Row],[cumul '#]]/$D$49</f>
        <v>1</v>
      </c>
      <c r="G40" s="9">
        <f>Table37[[#This Row],[cumul '#]]/$D$23</f>
        <v>0.72413793103448276</v>
      </c>
      <c r="H40" s="12">
        <f>COUNTIFS(Table2[QE parsifal],"&lt;=" &amp; Table37[[#This Row],[QE scores]],Table2[QE R1:
QE2/3/5/8],"ok")</f>
        <v>0</v>
      </c>
      <c r="I40" s="9">
        <f>Table37[[#This Row],[inv cuml '#]]/$D$49</f>
        <v>0</v>
      </c>
      <c r="J40" s="13">
        <f>Table37[[#This Row],['#records]]/$D$49</f>
        <v>0</v>
      </c>
      <c r="K40" s="13">
        <f>_xlfn.NORM.DIST(Table37[[#This Row],[QE scores]],$P$31,$P$32,FALSE)</f>
        <v>1.2838048404294275E-2</v>
      </c>
      <c r="L40" s="12">
        <f>Table37[[#This Row],[^Y]]*$D$49</f>
        <v>0.26959901649017975</v>
      </c>
      <c r="M40" s="9">
        <f>(Table37[[#This Row],[^'#records]]-Table37[[#This Row],['#records]])/$D$49</f>
        <v>1.2838048404294275E-2</v>
      </c>
    </row>
    <row r="41" spans="3:15" x14ac:dyDescent="0.2">
      <c r="C41">
        <v>6.5</v>
      </c>
      <c r="D41">
        <f>COUNTIFS(Table2[QE parsifal],Table37[[#This Row],[QE scores]],Table2[QE R1:
QE2/3/5/8],"ok")</f>
        <v>1</v>
      </c>
      <c r="E41" s="5">
        <f>COUNTIFS(Table2[QE parsifal],"&gt;=" &amp; Table37[[#This Row],[QE scores]],Table2[QE R1:
QE2/3/5/8],"ok")</f>
        <v>21</v>
      </c>
      <c r="F41" s="9">
        <f>Table37[[#This Row],[cumul '#]]/$D$49</f>
        <v>1</v>
      </c>
      <c r="G41" s="9">
        <f>Table37[[#This Row],[cumul '#]]/$D$23</f>
        <v>0.72413793103448276</v>
      </c>
      <c r="H41" s="12">
        <f>COUNTIFS(Table2[QE parsifal],"&lt;=" &amp; Table37[[#This Row],[QE scores]],Table2[QE R1:
QE2/3/5/8],"ok")</f>
        <v>1</v>
      </c>
      <c r="I41" s="9">
        <f>Table37[[#This Row],[inv cuml '#]]/$D$49</f>
        <v>4.7619047619047616E-2</v>
      </c>
      <c r="J41" s="13">
        <f>Table37[[#This Row],['#records]]/$D$49</f>
        <v>4.7619047619047616E-2</v>
      </c>
      <c r="K41" s="13">
        <f>_xlfn.NORM.DIST(Table37[[#This Row],[QE scores]],$P$31,$P$32,FALSE)</f>
        <v>6.2017294721938558E-2</v>
      </c>
      <c r="L41" s="12">
        <f>Table37[[#This Row],[^Y]]*$D$49</f>
        <v>1.3023631891607097</v>
      </c>
      <c r="M41" s="9">
        <f>(Table37[[#This Row],[^'#records]]-Table37[[#This Row],['#records]])/$D$49</f>
        <v>1.4398247102890938E-2</v>
      </c>
    </row>
    <row r="42" spans="3:15" x14ac:dyDescent="0.2">
      <c r="C42">
        <v>7</v>
      </c>
      <c r="D42">
        <f>COUNTIFS(Table2[QE parsifal],Table37[[#This Row],[QE scores]],Table2[QE R1:
QE2/3/5/8],"ok")</f>
        <v>2</v>
      </c>
      <c r="E42" s="5">
        <f>COUNTIFS(Table2[QE parsifal],"&gt;=" &amp; Table37[[#This Row],[QE scores]],Table2[QE R1:
QE2/3/5/8],"ok")</f>
        <v>20</v>
      </c>
      <c r="F42" s="9">
        <f>Table37[[#This Row],[cumul '#]]/$D$49</f>
        <v>0.95238095238095233</v>
      </c>
      <c r="G42" s="9">
        <f>Table37[[#This Row],[cumul '#]]/$D$23</f>
        <v>0.68965517241379315</v>
      </c>
      <c r="H42" s="12">
        <f>COUNTIFS(Table2[QE parsifal],"&lt;=" &amp; Table37[[#This Row],[QE scores]],Table2[QE R1:
QE2/3/5/8],"ok")</f>
        <v>3</v>
      </c>
      <c r="I42" s="9">
        <f>Table37[[#This Row],[inv cuml '#]]/$D$49</f>
        <v>0.14285714285714285</v>
      </c>
      <c r="J42" s="13">
        <f>Table37[[#This Row],['#records]]/$D$49</f>
        <v>9.5238095238095233E-2</v>
      </c>
      <c r="K42" s="13">
        <f>_xlfn.NORM.DIST(Table37[[#This Row],[QE scores]],$P$31,$P$32,FALSE)</f>
        <v>0.19442769621071451</v>
      </c>
      <c r="L42" s="12">
        <f>Table37[[#This Row],[^Y]]*$D$49</f>
        <v>4.0829816204250049</v>
      </c>
      <c r="M42" s="9">
        <f>(Table37[[#This Row],[^'#records]]-Table37[[#This Row],['#records]])/$D$49</f>
        <v>9.918960097261928E-2</v>
      </c>
    </row>
    <row r="43" spans="3:15" x14ac:dyDescent="0.2">
      <c r="C43">
        <v>7.5</v>
      </c>
      <c r="D43">
        <f>COUNTIFS(Table2[QE parsifal],Table37[[#This Row],[QE scores]],Table2[QE R1:
QE2/3/5/8],"ok")</f>
        <v>5</v>
      </c>
      <c r="E43" s="5">
        <f>COUNTIFS(Table2[QE parsifal],"&gt;=" &amp; Table37[[#This Row],[QE scores]],Table2[QE R1:
QE2/3/5/8],"ok")</f>
        <v>18</v>
      </c>
      <c r="F43" s="9">
        <f>Table37[[#This Row],[cumul '#]]/$D$49</f>
        <v>0.8571428571428571</v>
      </c>
      <c r="G43" s="9">
        <f>Table37[[#This Row],[cumul '#]]/$D$23</f>
        <v>0.62068965517241381</v>
      </c>
      <c r="H43" s="12">
        <f>COUNTIFS(Table2[QE parsifal],"&lt;=" &amp; Table37[[#This Row],[QE scores]],Table2[QE R1:
QE2/3/5/8],"ok")</f>
        <v>8</v>
      </c>
      <c r="I43" s="9">
        <f>Table37[[#This Row],[inv cuml '#]]/$D$49</f>
        <v>0.38095238095238093</v>
      </c>
      <c r="J43" s="13">
        <f>Table37[[#This Row],['#records]]/$D$49</f>
        <v>0.23809523809523808</v>
      </c>
      <c r="K43" s="13">
        <f>_xlfn.NORM.DIST(Table37[[#This Row],[QE scores]],$P$31,$P$32,FALSE)</f>
        <v>0.39558056464810687</v>
      </c>
      <c r="L43" s="12">
        <f>Table37[[#This Row],[^Y]]*$D$49</f>
        <v>8.3071918576102437</v>
      </c>
      <c r="M43" s="9">
        <f>(Table37[[#This Row],[^'#records]]-Table37[[#This Row],['#records]])/$D$49</f>
        <v>0.15748532655286876</v>
      </c>
    </row>
    <row r="44" spans="3:15" x14ac:dyDescent="0.2">
      <c r="C44">
        <v>8</v>
      </c>
      <c r="D44">
        <f>COUNTIFS(Table2[QE parsifal],Table37[[#This Row],[QE scores]],Table2[QE R1:
QE2/3/5/8],"ok")</f>
        <v>3</v>
      </c>
      <c r="E44" s="5">
        <f>COUNTIFS(Table2[QE parsifal],"&gt;=" &amp; Table37[[#This Row],[QE scores]],Table2[QE R1:
QE2/3/5/8],"ok")</f>
        <v>13</v>
      </c>
      <c r="F44" s="9">
        <f>Table37[[#This Row],[cumul '#]]/$D$49</f>
        <v>0.61904761904761907</v>
      </c>
      <c r="G44" s="9">
        <f>Table37[[#This Row],[cumul '#]]/$D$23</f>
        <v>0.44827586206896552</v>
      </c>
      <c r="H44" s="12">
        <f>COUNTIFS(Table2[QE parsifal],"&lt;=" &amp; Table37[[#This Row],[QE scores]],Table2[QE R1:
QE2/3/5/8],"ok")</f>
        <v>11</v>
      </c>
      <c r="I44" s="9">
        <f>Table37[[#This Row],[inv cuml '#]]/$D$49</f>
        <v>0.52380952380952384</v>
      </c>
      <c r="J44" s="13">
        <f>Table37[[#This Row],['#records]]/$D$49</f>
        <v>0.14285714285714285</v>
      </c>
      <c r="K44" s="13">
        <f>_xlfn.NORM.DIST(Table37[[#This Row],[QE scores]],$P$31,$P$32,FALSE)</f>
        <v>0.52232794942481031</v>
      </c>
      <c r="L44" s="12">
        <f>Table37[[#This Row],[^Y]]*$D$49</f>
        <v>10.968886937921017</v>
      </c>
      <c r="M44" s="9">
        <f>(Table37[[#This Row],[^'#records]]-Table37[[#This Row],['#records]])/$D$49</f>
        <v>0.37947080656766746</v>
      </c>
    </row>
    <row r="45" spans="3:15" x14ac:dyDescent="0.2">
      <c r="C45">
        <v>8.5</v>
      </c>
      <c r="D45">
        <f>COUNTIFS(Table2[QE parsifal],Table37[[#This Row],[QE scores]],Table2[QE R1:
QE2/3/5/8],"ok")</f>
        <v>6</v>
      </c>
      <c r="E45" s="5">
        <f>COUNTIFS(Table2[QE parsifal],"&gt;=" &amp; Table37[[#This Row],[QE scores]],Table2[QE R1:
QE2/3/5/8],"ok")</f>
        <v>10</v>
      </c>
      <c r="F45" s="9">
        <f>Table37[[#This Row],[cumul '#]]/$D$49</f>
        <v>0.47619047619047616</v>
      </c>
      <c r="G45" s="9">
        <f>Table37[[#This Row],[cumul '#]]/$D$23</f>
        <v>0.34482758620689657</v>
      </c>
      <c r="H45" s="12">
        <f>COUNTIFS(Table2[QE parsifal],"&lt;=" &amp; Table37[[#This Row],[QE scores]],Table2[QE R1:
QE2/3/5/8],"ok")</f>
        <v>17</v>
      </c>
      <c r="I45" s="9">
        <f>Table37[[#This Row],[inv cuml '#]]/$D$49</f>
        <v>0.80952380952380953</v>
      </c>
      <c r="J45" s="13">
        <f>Table37[[#This Row],['#records]]/$D$49</f>
        <v>0.2857142857142857</v>
      </c>
      <c r="K45" s="13">
        <f>_xlfn.NORM.DIST(Table37[[#This Row],[QE scores]],$P$31,$P$32,FALSE)</f>
        <v>0.44759279596826385</v>
      </c>
      <c r="L45" s="12">
        <f>Table37[[#This Row],[^Y]]*$D$49</f>
        <v>9.3994487153335413</v>
      </c>
      <c r="M45" s="9">
        <f>(Table37[[#This Row],[^'#records]]-Table37[[#This Row],['#records]])/$D$49</f>
        <v>0.16187851025397815</v>
      </c>
    </row>
    <row r="46" spans="3:15" x14ac:dyDescent="0.2">
      <c r="C46">
        <v>9</v>
      </c>
      <c r="D46">
        <f>COUNTIFS(Table2[QE parsifal],Table37[[#This Row],[QE scores]],Table2[QE R1:
QE2/3/5/8],"ok")</f>
        <v>3</v>
      </c>
      <c r="E46" s="5">
        <f>COUNTIFS(Table2[QE parsifal],"&gt;=" &amp; Table37[[#This Row],[QE scores]],Table2[QE R1:
QE2/3/5/8],"ok")</f>
        <v>4</v>
      </c>
      <c r="F46" s="9">
        <f>Table37[[#This Row],[cumul '#]]/$D$49</f>
        <v>0.19047619047619047</v>
      </c>
      <c r="G46" s="9">
        <f>Table37[[#This Row],[cumul '#]]/$D$23</f>
        <v>0.13793103448275862</v>
      </c>
      <c r="H46" s="12">
        <f>COUNTIFS(Table2[QE parsifal],"&lt;=" &amp; Table37[[#This Row],[QE scores]],Table2[QE R1:
QE2/3/5/8],"ok")</f>
        <v>20</v>
      </c>
      <c r="I46" s="9">
        <f>Table37[[#This Row],[inv cuml '#]]/$D$49</f>
        <v>0.95238095238095233</v>
      </c>
      <c r="J46" s="13">
        <f>Table37[[#This Row],['#records]]/$D$49</f>
        <v>0.14285714285714285</v>
      </c>
      <c r="K46" s="13">
        <f>_xlfn.NORM.DIST(Table37[[#This Row],[QE scores]],$P$31,$P$32,FALSE)</f>
        <v>0.24891691737552185</v>
      </c>
      <c r="L46" s="12">
        <f>Table37[[#This Row],[^Y]]*$D$49</f>
        <v>5.2272552648859589</v>
      </c>
      <c r="M46" s="9">
        <f>(Table37[[#This Row],[^'#records]]-Table37[[#This Row],['#records]])/$D$49</f>
        <v>0.106059774518379</v>
      </c>
    </row>
    <row r="47" spans="3:15" x14ac:dyDescent="0.2">
      <c r="C47">
        <v>9.5</v>
      </c>
      <c r="D47">
        <f>COUNTIFS(Table2[QE parsifal],Table37[[#This Row],[QE scores]],Table2[QE R1:
QE2/3/5/8],"ok")</f>
        <v>1</v>
      </c>
      <c r="E47" s="5">
        <f>COUNTIFS(Table2[QE parsifal],"&gt;=" &amp; Table37[[#This Row],[QE scores]],Table2[QE R1:
QE2/3/5/8],"ok")</f>
        <v>1</v>
      </c>
      <c r="F47" s="9">
        <f>Table37[[#This Row],[cumul '#]]/$D$49</f>
        <v>4.7619047619047616E-2</v>
      </c>
      <c r="G47" s="9">
        <f>Table37[[#This Row],[cumul '#]]/$D$23</f>
        <v>3.4482758620689655E-2</v>
      </c>
      <c r="H47" s="12">
        <f>COUNTIFS(Table2[QE parsifal],"&lt;=" &amp; Table37[[#This Row],[QE scores]],Table2[QE R1:
QE2/3/5/8],"ok")</f>
        <v>21</v>
      </c>
      <c r="I47" s="9">
        <f>Table37[[#This Row],[inv cuml '#]]/$D$49</f>
        <v>1</v>
      </c>
      <c r="J47" s="13">
        <f>Table37[[#This Row],['#records]]/$D$49</f>
        <v>4.7619047619047616E-2</v>
      </c>
      <c r="K47" s="13">
        <f>_xlfn.NORM.DIST(Table37[[#This Row],[QE scores]],$P$31,$P$32,FALSE)</f>
        <v>8.9837414274778066E-2</v>
      </c>
      <c r="L47" s="12">
        <f>Table37[[#This Row],[^Y]]*$D$49</f>
        <v>1.8865856997703394</v>
      </c>
      <c r="M47" s="9">
        <f>(Table37[[#This Row],[^'#records]]-Table37[[#This Row],['#records]])/$D$49</f>
        <v>4.2218366655730449E-2</v>
      </c>
    </row>
    <row r="48" spans="3:15" x14ac:dyDescent="0.2">
      <c r="C48">
        <v>10</v>
      </c>
      <c r="D48">
        <f>COUNTIFS(Table2[QE parsifal],Table37[[#This Row],[QE scores]],Table2[QE R1:
QE2/3/5/8],"ok")</f>
        <v>0</v>
      </c>
      <c r="E48" s="5">
        <f>COUNTIFS(Table2[QE parsifal],"&gt;=" &amp; Table37[[#This Row],[QE scores]],Table2[QE R1:
QE2/3/5/8],"ok")</f>
        <v>0</v>
      </c>
      <c r="F48" s="9">
        <f>Table37[[#This Row],[cumul '#]]/$D$49</f>
        <v>0</v>
      </c>
      <c r="G48" s="9">
        <f>Table37[[#This Row],[cumul '#]]/$D$23</f>
        <v>0</v>
      </c>
      <c r="H48" s="12">
        <f>COUNTIFS(Table2[QE parsifal],"&lt;=" &amp; Table37[[#This Row],[QE scores]],Table2[QE R1:
QE2/3/5/8],"ok")</f>
        <v>21</v>
      </c>
      <c r="I48" s="9">
        <f>Table37[[#This Row],[inv cuml '#]]/$D$49</f>
        <v>1</v>
      </c>
      <c r="J48" s="13">
        <f>Table37[[#This Row],['#records]]/$D$49</f>
        <v>0</v>
      </c>
      <c r="K48" s="13">
        <f>_xlfn.NORM.DIST(Table37[[#This Row],[QE scores]],$P$31,$P$32,FALSE)</f>
        <v>2.1042220941051924E-2</v>
      </c>
      <c r="L48" s="12">
        <f>Table37[[#This Row],[^Y]]*$D$49</f>
        <v>0.44188663976209042</v>
      </c>
      <c r="M48" s="9">
        <f>(Table37[[#This Row],[^'#records]]-Table37[[#This Row],['#records]])/$D$49</f>
        <v>2.1042220941051924E-2</v>
      </c>
    </row>
    <row r="49" spans="3:6" x14ac:dyDescent="0.2">
      <c r="C49" s="6" t="s">
        <v>98</v>
      </c>
      <c r="D49" s="5">
        <f>SUM(Table37['#records])</f>
        <v>21</v>
      </c>
    </row>
    <row r="50" spans="3:6" x14ac:dyDescent="0.2">
      <c r="C50" s="6" t="s">
        <v>116</v>
      </c>
      <c r="D50">
        <f>$D$23-$D$49</f>
        <v>8</v>
      </c>
    </row>
    <row r="52" spans="3:6" x14ac:dyDescent="0.2">
      <c r="F52" s="9"/>
    </row>
  </sheetData>
  <phoneticPr fontId="5" type="noConversion"/>
  <pageMargins left="0.7" right="0.7" top="0.75" bottom="0.75" header="0.3" footer="0.3"/>
  <pageSetup paperSize="9" orientation="portrait" r:id="rId1"/>
  <tableParts count="4">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55AAB-D91C-4300-A0FB-8A5F79915C25}">
  <dimension ref="A1"/>
  <sheetViews>
    <sheetView zoomScale="150" zoomScaleNormal="150" workbookViewId="0"/>
  </sheetViews>
  <sheetFormatPr defaultColWidth="4.7109375" defaultRowHeight="12.75" x14ac:dyDescent="0.2"/>
  <cols>
    <col min="1" max="16384" width="4.7109375" style="4"/>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Eligible Records</vt:lpstr>
      <vt:lpstr>Parsifal QE</vt:lpstr>
      <vt:lpstr>Analysis</vt:lpstr>
      <vt:lpstr>Graphs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Barbosa Sousa</dc:creator>
  <cp:lastModifiedBy>Ricardo Barbosa Sousa</cp:lastModifiedBy>
  <dcterms:created xsi:type="dcterms:W3CDTF">2022-06-08T08:28:18Z</dcterms:created>
  <dcterms:modified xsi:type="dcterms:W3CDTF">2022-10-27T11:41:25Z</dcterms:modified>
</cp:coreProperties>
</file>