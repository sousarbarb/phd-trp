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sousa\Dev\phd-trp\data\literature\"/>
    </mc:Choice>
  </mc:AlternateContent>
  <xr:revisionPtr revIDLastSave="0" documentId="13_ncr:1_{6CEADD29-AB72-41D7-A742-CA41EB59B7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iginal" sheetId="1" r:id="rId1"/>
    <sheet name="dynamic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6" i="4" l="1"/>
  <c r="L66" i="4"/>
  <c r="K66" i="4"/>
  <c r="M65" i="4"/>
  <c r="L65" i="4"/>
  <c r="K65" i="4"/>
  <c r="M64" i="4"/>
  <c r="L64" i="4"/>
  <c r="K64" i="4"/>
  <c r="M63" i="4"/>
  <c r="L63" i="4"/>
  <c r="K63" i="4"/>
  <c r="M62" i="4"/>
  <c r="L62" i="4"/>
  <c r="K62" i="4"/>
  <c r="M61" i="4"/>
  <c r="L61" i="4"/>
  <c r="K61" i="4"/>
  <c r="M60" i="4"/>
  <c r="L60" i="4"/>
  <c r="K60" i="4"/>
  <c r="M59" i="4"/>
  <c r="L59" i="4"/>
  <c r="K59" i="4"/>
  <c r="M58" i="4"/>
  <c r="L58" i="4"/>
  <c r="K58" i="4"/>
  <c r="M57" i="4"/>
  <c r="L57" i="4"/>
  <c r="K57" i="4"/>
  <c r="M56" i="4"/>
  <c r="L56" i="4"/>
  <c r="K56" i="4"/>
  <c r="M55" i="4"/>
  <c r="L55" i="4"/>
  <c r="K55" i="4"/>
  <c r="M54" i="4"/>
  <c r="L54" i="4"/>
  <c r="K54" i="4"/>
  <c r="M53" i="4"/>
  <c r="L53" i="4"/>
  <c r="K53" i="4"/>
  <c r="M52" i="4"/>
  <c r="L52" i="4"/>
  <c r="K52" i="4"/>
  <c r="M51" i="4"/>
  <c r="L51" i="4"/>
  <c r="K51" i="4"/>
  <c r="M50" i="4"/>
  <c r="L50" i="4"/>
  <c r="K50" i="4"/>
  <c r="M49" i="4"/>
  <c r="L49" i="4"/>
  <c r="K49" i="4"/>
  <c r="M48" i="4"/>
  <c r="L48" i="4"/>
  <c r="K48" i="4"/>
  <c r="M47" i="4"/>
  <c r="L47" i="4"/>
  <c r="K47" i="4"/>
  <c r="M46" i="4"/>
  <c r="L46" i="4"/>
  <c r="K46" i="4"/>
  <c r="M45" i="4"/>
  <c r="L45" i="4"/>
  <c r="K45" i="4"/>
  <c r="M44" i="4"/>
  <c r="L44" i="4"/>
  <c r="K44" i="4"/>
  <c r="M43" i="4"/>
  <c r="L43" i="4"/>
  <c r="K43" i="4"/>
  <c r="M42" i="4"/>
  <c r="L42" i="4"/>
  <c r="K42" i="4"/>
  <c r="M41" i="4"/>
  <c r="L41" i="4"/>
  <c r="K41" i="4"/>
  <c r="M40" i="4"/>
  <c r="L40" i="4"/>
  <c r="K40" i="4"/>
  <c r="M39" i="4"/>
  <c r="L39" i="4"/>
  <c r="K39" i="4"/>
  <c r="M38" i="4"/>
  <c r="L38" i="4"/>
  <c r="K38" i="4"/>
  <c r="M37" i="4"/>
  <c r="L37" i="4"/>
  <c r="K37" i="4"/>
  <c r="M36" i="4"/>
  <c r="L36" i="4"/>
  <c r="K36" i="4"/>
  <c r="M35" i="4"/>
  <c r="L35" i="4"/>
  <c r="K35" i="4"/>
  <c r="M34" i="4"/>
  <c r="L34" i="4"/>
  <c r="K34" i="4"/>
  <c r="M33" i="4"/>
  <c r="L33" i="4"/>
  <c r="K33" i="4"/>
  <c r="M32" i="4"/>
  <c r="L32" i="4"/>
  <c r="K32" i="4"/>
  <c r="M31" i="4"/>
  <c r="L31" i="4"/>
  <c r="K31" i="4"/>
  <c r="M30" i="4"/>
  <c r="L30" i="4"/>
  <c r="K30" i="4"/>
  <c r="M29" i="4"/>
  <c r="L29" i="4"/>
  <c r="K29" i="4"/>
  <c r="M28" i="4"/>
  <c r="L28" i="4"/>
  <c r="K28" i="4"/>
  <c r="M27" i="4"/>
  <c r="L27" i="4"/>
  <c r="K27" i="4"/>
  <c r="M26" i="4"/>
  <c r="L26" i="4"/>
  <c r="K26" i="4"/>
  <c r="M25" i="4"/>
  <c r="L25" i="4"/>
  <c r="K25" i="4"/>
  <c r="M24" i="4"/>
  <c r="L24" i="4"/>
  <c r="K24" i="4"/>
  <c r="M23" i="4"/>
  <c r="L23" i="4"/>
  <c r="K23" i="4"/>
  <c r="M22" i="4"/>
  <c r="L22" i="4"/>
  <c r="K22" i="4"/>
  <c r="M21" i="4"/>
  <c r="L21" i="4"/>
  <c r="K21" i="4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3" i="4"/>
  <c r="L13" i="4"/>
  <c r="H13" i="4"/>
  <c r="E13" i="4"/>
  <c r="B13" i="4"/>
  <c r="K65" i="1"/>
  <c r="K66" i="1"/>
  <c r="L65" i="1"/>
  <c r="L66" i="1"/>
  <c r="M65" i="1"/>
  <c r="M66" i="1"/>
  <c r="M67" i="4" l="1"/>
  <c r="L67" i="4"/>
  <c r="K67" i="4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H13" i="1"/>
  <c r="E13" i="1"/>
  <c r="B13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M13" i="1"/>
  <c r="L13" i="1"/>
  <c r="K67" i="1" l="1"/>
  <c r="L67" i="1"/>
  <c r="M67" i="1"/>
</calcChain>
</file>

<file path=xl/sharedStrings.xml><?xml version="1.0" encoding="utf-8"?>
<sst xmlns="http://schemas.openxmlformats.org/spreadsheetml/2006/main" count="58" uniqueCount="18">
  <si>
    <t>(robot* OR vehicle*) AND ((locali* AND map*) OR "slam") AND ("long term" OR "life long" OR lifelong)</t>
  </si>
  <si>
    <t>base string</t>
  </si>
  <si>
    <t>search fields</t>
  </si>
  <si>
    <t>scopus</t>
  </si>
  <si>
    <t>inspec</t>
  </si>
  <si>
    <t>wos</t>
  </si>
  <si>
    <t>title-abs-key</t>
  </si>
  <si>
    <t>results</t>
  </si>
  <si>
    <t>year</t>
  </si>
  <si>
    <t>#results</t>
  </si>
  <si>
    <t>new data of last full inquiry</t>
  </si>
  <si>
    <t>october 25, 2022</t>
  </si>
  <si>
    <t>all three sources</t>
  </si>
  <si>
    <t>min</t>
  </si>
  <si>
    <t>max</t>
  </si>
  <si>
    <t xml:space="preserve">total: </t>
  </si>
  <si>
    <t>subject / title / abstract</t>
  </si>
  <si>
    <t>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</si>
</sst>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Evolution of the Number of Publications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112731481481475E-2"/>
          <c:y val="0.15828375350033677"/>
          <c:w val="0.85382083333333336"/>
          <c:h val="0.7196002525252525"/>
        </c:manualLayout>
      </c:layout>
      <c:scatterChart>
        <c:scatterStyle val="lineMarker"/>
        <c:varyColors val="0"/>
        <c:ser>
          <c:idx val="0"/>
          <c:order val="0"/>
          <c:tx>
            <c:strRef>
              <c:f>original!$K$15</c:f>
              <c:strCache>
                <c:ptCount val="1"/>
                <c:pt idx="0">
                  <c:v>inspec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26C-44F0-AD72-F86E7A1F748E}"/>
              </c:ext>
            </c:extLst>
          </c:dPt>
          <c:xVal>
            <c:numRef>
              <c:f>original!$J$16:$J$66</c:f>
              <c:numCache>
                <c:formatCode>General</c:formatCode>
                <c:ptCount val="51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  <c:pt idx="3">
                  <c:v>2019</c:v>
                </c:pt>
                <c:pt idx="4">
                  <c:v>2018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2014</c:v>
                </c:pt>
                <c:pt idx="9">
                  <c:v>2013</c:v>
                </c:pt>
                <c:pt idx="10">
                  <c:v>2012</c:v>
                </c:pt>
                <c:pt idx="11">
                  <c:v>2011</c:v>
                </c:pt>
                <c:pt idx="12">
                  <c:v>2010</c:v>
                </c:pt>
                <c:pt idx="13">
                  <c:v>2009</c:v>
                </c:pt>
                <c:pt idx="14">
                  <c:v>2008</c:v>
                </c:pt>
                <c:pt idx="15">
                  <c:v>2007</c:v>
                </c:pt>
                <c:pt idx="16">
                  <c:v>2006</c:v>
                </c:pt>
                <c:pt idx="17">
                  <c:v>2005</c:v>
                </c:pt>
                <c:pt idx="18">
                  <c:v>2004</c:v>
                </c:pt>
                <c:pt idx="19">
                  <c:v>2003</c:v>
                </c:pt>
                <c:pt idx="20">
                  <c:v>2002</c:v>
                </c:pt>
                <c:pt idx="21">
                  <c:v>2001</c:v>
                </c:pt>
                <c:pt idx="22">
                  <c:v>2000</c:v>
                </c:pt>
                <c:pt idx="23">
                  <c:v>1999</c:v>
                </c:pt>
                <c:pt idx="24">
                  <c:v>1998</c:v>
                </c:pt>
                <c:pt idx="25">
                  <c:v>1997</c:v>
                </c:pt>
                <c:pt idx="26">
                  <c:v>1996</c:v>
                </c:pt>
                <c:pt idx="27">
                  <c:v>1995</c:v>
                </c:pt>
                <c:pt idx="28">
                  <c:v>1994</c:v>
                </c:pt>
                <c:pt idx="29">
                  <c:v>1993</c:v>
                </c:pt>
                <c:pt idx="30">
                  <c:v>1992</c:v>
                </c:pt>
                <c:pt idx="31">
                  <c:v>1991</c:v>
                </c:pt>
                <c:pt idx="32">
                  <c:v>1990</c:v>
                </c:pt>
                <c:pt idx="33">
                  <c:v>1989</c:v>
                </c:pt>
                <c:pt idx="34">
                  <c:v>1988</c:v>
                </c:pt>
                <c:pt idx="35">
                  <c:v>1987</c:v>
                </c:pt>
                <c:pt idx="36">
                  <c:v>1986</c:v>
                </c:pt>
                <c:pt idx="37">
                  <c:v>1985</c:v>
                </c:pt>
                <c:pt idx="38">
                  <c:v>1984</c:v>
                </c:pt>
                <c:pt idx="39">
                  <c:v>1983</c:v>
                </c:pt>
                <c:pt idx="40">
                  <c:v>1982</c:v>
                </c:pt>
                <c:pt idx="41">
                  <c:v>1981</c:v>
                </c:pt>
                <c:pt idx="42">
                  <c:v>1980</c:v>
                </c:pt>
                <c:pt idx="43">
                  <c:v>1979</c:v>
                </c:pt>
                <c:pt idx="44">
                  <c:v>1978</c:v>
                </c:pt>
                <c:pt idx="45">
                  <c:v>1977</c:v>
                </c:pt>
                <c:pt idx="46">
                  <c:v>1976</c:v>
                </c:pt>
                <c:pt idx="47">
                  <c:v>1975</c:v>
                </c:pt>
                <c:pt idx="48">
                  <c:v>1974</c:v>
                </c:pt>
                <c:pt idx="49">
                  <c:v>1973</c:v>
                </c:pt>
                <c:pt idx="50">
                  <c:v>1972</c:v>
                </c:pt>
              </c:numCache>
            </c:numRef>
          </c:xVal>
          <c:yVal>
            <c:numRef>
              <c:f>original!$K$16:$K$66</c:f>
              <c:numCache>
                <c:formatCode>General</c:formatCode>
                <c:ptCount val="51"/>
                <c:pt idx="0">
                  <c:v>28</c:v>
                </c:pt>
                <c:pt idx="1">
                  <c:v>57</c:v>
                </c:pt>
                <c:pt idx="2">
                  <c:v>52</c:v>
                </c:pt>
                <c:pt idx="3">
                  <c:v>74</c:v>
                </c:pt>
                <c:pt idx="4">
                  <c:v>39</c:v>
                </c:pt>
                <c:pt idx="5">
                  <c:v>28</c:v>
                </c:pt>
                <c:pt idx="6">
                  <c:v>32</c:v>
                </c:pt>
                <c:pt idx="7">
                  <c:v>28</c:v>
                </c:pt>
                <c:pt idx="8">
                  <c:v>15</c:v>
                </c:pt>
                <c:pt idx="9">
                  <c:v>28</c:v>
                </c:pt>
                <c:pt idx="10">
                  <c:v>8</c:v>
                </c:pt>
                <c:pt idx="11">
                  <c:v>17</c:v>
                </c:pt>
                <c:pt idx="12">
                  <c:v>10</c:v>
                </c:pt>
                <c:pt idx="13">
                  <c:v>10</c:v>
                </c:pt>
                <c:pt idx="14">
                  <c:v>6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4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6C-44F0-AD72-F86E7A1F748E}"/>
            </c:ext>
          </c:extLst>
        </c:ser>
        <c:ser>
          <c:idx val="1"/>
          <c:order val="1"/>
          <c:tx>
            <c:strRef>
              <c:f>original!$L$15</c:f>
              <c:strCache>
                <c:ptCount val="1"/>
                <c:pt idx="0">
                  <c:v>scopus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26C-44F0-AD72-F86E7A1F748E}"/>
              </c:ext>
            </c:extLst>
          </c:dPt>
          <c:xVal>
            <c:numRef>
              <c:f>original!$J$16:$J$66</c:f>
              <c:numCache>
                <c:formatCode>General</c:formatCode>
                <c:ptCount val="51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  <c:pt idx="3">
                  <c:v>2019</c:v>
                </c:pt>
                <c:pt idx="4">
                  <c:v>2018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2014</c:v>
                </c:pt>
                <c:pt idx="9">
                  <c:v>2013</c:v>
                </c:pt>
                <c:pt idx="10">
                  <c:v>2012</c:v>
                </c:pt>
                <c:pt idx="11">
                  <c:v>2011</c:v>
                </c:pt>
                <c:pt idx="12">
                  <c:v>2010</c:v>
                </c:pt>
                <c:pt idx="13">
                  <c:v>2009</c:v>
                </c:pt>
                <c:pt idx="14">
                  <c:v>2008</c:v>
                </c:pt>
                <c:pt idx="15">
                  <c:v>2007</c:v>
                </c:pt>
                <c:pt idx="16">
                  <c:v>2006</c:v>
                </c:pt>
                <c:pt idx="17">
                  <c:v>2005</c:v>
                </c:pt>
                <c:pt idx="18">
                  <c:v>2004</c:v>
                </c:pt>
                <c:pt idx="19">
                  <c:v>2003</c:v>
                </c:pt>
                <c:pt idx="20">
                  <c:v>2002</c:v>
                </c:pt>
                <c:pt idx="21">
                  <c:v>2001</c:v>
                </c:pt>
                <c:pt idx="22">
                  <c:v>2000</c:v>
                </c:pt>
                <c:pt idx="23">
                  <c:v>1999</c:v>
                </c:pt>
                <c:pt idx="24">
                  <c:v>1998</c:v>
                </c:pt>
                <c:pt idx="25">
                  <c:v>1997</c:v>
                </c:pt>
                <c:pt idx="26">
                  <c:v>1996</c:v>
                </c:pt>
                <c:pt idx="27">
                  <c:v>1995</c:v>
                </c:pt>
                <c:pt idx="28">
                  <c:v>1994</c:v>
                </c:pt>
                <c:pt idx="29">
                  <c:v>1993</c:v>
                </c:pt>
                <c:pt idx="30">
                  <c:v>1992</c:v>
                </c:pt>
                <c:pt idx="31">
                  <c:v>1991</c:v>
                </c:pt>
                <c:pt idx="32">
                  <c:v>1990</c:v>
                </c:pt>
                <c:pt idx="33">
                  <c:v>1989</c:v>
                </c:pt>
                <c:pt idx="34">
                  <c:v>1988</c:v>
                </c:pt>
                <c:pt idx="35">
                  <c:v>1987</c:v>
                </c:pt>
                <c:pt idx="36">
                  <c:v>1986</c:v>
                </c:pt>
                <c:pt idx="37">
                  <c:v>1985</c:v>
                </c:pt>
                <c:pt idx="38">
                  <c:v>1984</c:v>
                </c:pt>
                <c:pt idx="39">
                  <c:v>1983</c:v>
                </c:pt>
                <c:pt idx="40">
                  <c:v>1982</c:v>
                </c:pt>
                <c:pt idx="41">
                  <c:v>1981</c:v>
                </c:pt>
                <c:pt idx="42">
                  <c:v>1980</c:v>
                </c:pt>
                <c:pt idx="43">
                  <c:v>1979</c:v>
                </c:pt>
                <c:pt idx="44">
                  <c:v>1978</c:v>
                </c:pt>
                <c:pt idx="45">
                  <c:v>1977</c:v>
                </c:pt>
                <c:pt idx="46">
                  <c:v>1976</c:v>
                </c:pt>
                <c:pt idx="47">
                  <c:v>1975</c:v>
                </c:pt>
                <c:pt idx="48">
                  <c:v>1974</c:v>
                </c:pt>
                <c:pt idx="49">
                  <c:v>1973</c:v>
                </c:pt>
                <c:pt idx="50">
                  <c:v>1972</c:v>
                </c:pt>
              </c:numCache>
            </c:numRef>
          </c:xVal>
          <c:yVal>
            <c:numRef>
              <c:f>original!$L$16:$L$66</c:f>
              <c:numCache>
                <c:formatCode>General</c:formatCode>
                <c:ptCount val="51"/>
                <c:pt idx="0">
                  <c:v>52</c:v>
                </c:pt>
                <c:pt idx="1">
                  <c:v>76</c:v>
                </c:pt>
                <c:pt idx="2">
                  <c:v>55</c:v>
                </c:pt>
                <c:pt idx="3">
                  <c:v>66</c:v>
                </c:pt>
                <c:pt idx="4">
                  <c:v>45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22</c:v>
                </c:pt>
                <c:pt idx="9">
                  <c:v>32</c:v>
                </c:pt>
                <c:pt idx="10">
                  <c:v>12</c:v>
                </c:pt>
                <c:pt idx="11">
                  <c:v>16</c:v>
                </c:pt>
                <c:pt idx="12">
                  <c:v>13</c:v>
                </c:pt>
                <c:pt idx="13">
                  <c:v>12</c:v>
                </c:pt>
                <c:pt idx="14">
                  <c:v>7</c:v>
                </c:pt>
                <c:pt idx="15">
                  <c:v>6</c:v>
                </c:pt>
                <c:pt idx="16">
                  <c:v>5</c:v>
                </c:pt>
                <c:pt idx="17">
                  <c:v>5</c:v>
                </c:pt>
                <c:pt idx="18">
                  <c:v>9</c:v>
                </c:pt>
                <c:pt idx="19">
                  <c:v>0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0</c:v>
                </c:pt>
                <c:pt idx="24">
                  <c:v>3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6C-44F0-AD72-F86E7A1F748E}"/>
            </c:ext>
          </c:extLst>
        </c:ser>
        <c:ser>
          <c:idx val="2"/>
          <c:order val="2"/>
          <c:tx>
            <c:strRef>
              <c:f>original!$M$15</c:f>
              <c:strCache>
                <c:ptCount val="1"/>
                <c:pt idx="0">
                  <c:v>wos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26C-44F0-AD72-F86E7A1F748E}"/>
              </c:ext>
            </c:extLst>
          </c:dPt>
          <c:xVal>
            <c:numRef>
              <c:f>original!$J$16:$J$66</c:f>
              <c:numCache>
                <c:formatCode>General</c:formatCode>
                <c:ptCount val="51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  <c:pt idx="3">
                  <c:v>2019</c:v>
                </c:pt>
                <c:pt idx="4">
                  <c:v>2018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2014</c:v>
                </c:pt>
                <c:pt idx="9">
                  <c:v>2013</c:v>
                </c:pt>
                <c:pt idx="10">
                  <c:v>2012</c:v>
                </c:pt>
                <c:pt idx="11">
                  <c:v>2011</c:v>
                </c:pt>
                <c:pt idx="12">
                  <c:v>2010</c:v>
                </c:pt>
                <c:pt idx="13">
                  <c:v>2009</c:v>
                </c:pt>
                <c:pt idx="14">
                  <c:v>2008</c:v>
                </c:pt>
                <c:pt idx="15">
                  <c:v>2007</c:v>
                </c:pt>
                <c:pt idx="16">
                  <c:v>2006</c:v>
                </c:pt>
                <c:pt idx="17">
                  <c:v>2005</c:v>
                </c:pt>
                <c:pt idx="18">
                  <c:v>2004</c:v>
                </c:pt>
                <c:pt idx="19">
                  <c:v>2003</c:v>
                </c:pt>
                <c:pt idx="20">
                  <c:v>2002</c:v>
                </c:pt>
                <c:pt idx="21">
                  <c:v>2001</c:v>
                </c:pt>
                <c:pt idx="22">
                  <c:v>2000</c:v>
                </c:pt>
                <c:pt idx="23">
                  <c:v>1999</c:v>
                </c:pt>
                <c:pt idx="24">
                  <c:v>1998</c:v>
                </c:pt>
                <c:pt idx="25">
                  <c:v>1997</c:v>
                </c:pt>
                <c:pt idx="26">
                  <c:v>1996</c:v>
                </c:pt>
                <c:pt idx="27">
                  <c:v>1995</c:v>
                </c:pt>
                <c:pt idx="28">
                  <c:v>1994</c:v>
                </c:pt>
                <c:pt idx="29">
                  <c:v>1993</c:v>
                </c:pt>
                <c:pt idx="30">
                  <c:v>1992</c:v>
                </c:pt>
                <c:pt idx="31">
                  <c:v>1991</c:v>
                </c:pt>
                <c:pt idx="32">
                  <c:v>1990</c:v>
                </c:pt>
                <c:pt idx="33">
                  <c:v>1989</c:v>
                </c:pt>
                <c:pt idx="34">
                  <c:v>1988</c:v>
                </c:pt>
                <c:pt idx="35">
                  <c:v>1987</c:v>
                </c:pt>
                <c:pt idx="36">
                  <c:v>1986</c:v>
                </c:pt>
                <c:pt idx="37">
                  <c:v>1985</c:v>
                </c:pt>
                <c:pt idx="38">
                  <c:v>1984</c:v>
                </c:pt>
                <c:pt idx="39">
                  <c:v>1983</c:v>
                </c:pt>
                <c:pt idx="40">
                  <c:v>1982</c:v>
                </c:pt>
                <c:pt idx="41">
                  <c:v>1981</c:v>
                </c:pt>
                <c:pt idx="42">
                  <c:v>1980</c:v>
                </c:pt>
                <c:pt idx="43">
                  <c:v>1979</c:v>
                </c:pt>
                <c:pt idx="44">
                  <c:v>1978</c:v>
                </c:pt>
                <c:pt idx="45">
                  <c:v>1977</c:v>
                </c:pt>
                <c:pt idx="46">
                  <c:v>1976</c:v>
                </c:pt>
                <c:pt idx="47">
                  <c:v>1975</c:v>
                </c:pt>
                <c:pt idx="48">
                  <c:v>1974</c:v>
                </c:pt>
                <c:pt idx="49">
                  <c:v>1973</c:v>
                </c:pt>
                <c:pt idx="50">
                  <c:v>1972</c:v>
                </c:pt>
              </c:numCache>
            </c:numRef>
          </c:xVal>
          <c:yVal>
            <c:numRef>
              <c:f>original!$M$16:$M$66</c:f>
              <c:numCache>
                <c:formatCode>General</c:formatCode>
                <c:ptCount val="51"/>
                <c:pt idx="0">
                  <c:v>32</c:v>
                </c:pt>
                <c:pt idx="1">
                  <c:v>62</c:v>
                </c:pt>
                <c:pt idx="2">
                  <c:v>39</c:v>
                </c:pt>
                <c:pt idx="3">
                  <c:v>50</c:v>
                </c:pt>
                <c:pt idx="4">
                  <c:v>38</c:v>
                </c:pt>
                <c:pt idx="5">
                  <c:v>17</c:v>
                </c:pt>
                <c:pt idx="6">
                  <c:v>41</c:v>
                </c:pt>
                <c:pt idx="7">
                  <c:v>28</c:v>
                </c:pt>
                <c:pt idx="8">
                  <c:v>17</c:v>
                </c:pt>
                <c:pt idx="9">
                  <c:v>19</c:v>
                </c:pt>
                <c:pt idx="10">
                  <c:v>10</c:v>
                </c:pt>
                <c:pt idx="11">
                  <c:v>9</c:v>
                </c:pt>
                <c:pt idx="12">
                  <c:v>7</c:v>
                </c:pt>
                <c:pt idx="13">
                  <c:v>13</c:v>
                </c:pt>
                <c:pt idx="14">
                  <c:v>6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  <c:pt idx="18">
                  <c:v>6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3</c:v>
                </c:pt>
                <c:pt idx="25">
                  <c:v>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6C-44F0-AD72-F86E7A1F7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487728"/>
        <c:axId val="1562488144"/>
      </c:scatterChart>
      <c:valAx>
        <c:axId val="1562487728"/>
        <c:scaling>
          <c:orientation val="minMax"/>
          <c:max val="2022"/>
          <c:min val="197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48567407407407409"/>
              <c:y val="0.925926010101009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2488144"/>
        <c:crosses val="autoZero"/>
        <c:crossBetween val="midCat"/>
      </c:valAx>
      <c:valAx>
        <c:axId val="156248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#publications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248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7411736149150187E-2"/>
          <c:y val="0.16118548409903541"/>
          <c:w val="0.2120599537037037"/>
          <c:h val="0.133514494703182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Evolution of the Number of Publications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112731481481475E-2"/>
          <c:y val="0.15828375350033677"/>
          <c:w val="0.85382083333333336"/>
          <c:h val="0.7196002525252525"/>
        </c:manualLayout>
      </c:layout>
      <c:scatterChart>
        <c:scatterStyle val="lineMarker"/>
        <c:varyColors val="0"/>
        <c:ser>
          <c:idx val="0"/>
          <c:order val="0"/>
          <c:tx>
            <c:strRef>
              <c:f>dynamic!$K$15</c:f>
              <c:strCache>
                <c:ptCount val="1"/>
                <c:pt idx="0">
                  <c:v>inspec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C6-472E-B35C-48CC8198825D}"/>
              </c:ext>
            </c:extLst>
          </c:dPt>
          <c:xVal>
            <c:numRef>
              <c:f>dynamic!$J$16:$J$66</c:f>
              <c:numCache>
                <c:formatCode>General</c:formatCode>
                <c:ptCount val="51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  <c:pt idx="3">
                  <c:v>2019</c:v>
                </c:pt>
                <c:pt idx="4">
                  <c:v>2018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2014</c:v>
                </c:pt>
                <c:pt idx="9">
                  <c:v>2013</c:v>
                </c:pt>
                <c:pt idx="10">
                  <c:v>2012</c:v>
                </c:pt>
                <c:pt idx="11">
                  <c:v>2011</c:v>
                </c:pt>
                <c:pt idx="12">
                  <c:v>2010</c:v>
                </c:pt>
                <c:pt idx="13">
                  <c:v>2009</c:v>
                </c:pt>
                <c:pt idx="14">
                  <c:v>2008</c:v>
                </c:pt>
                <c:pt idx="15">
                  <c:v>2007</c:v>
                </c:pt>
                <c:pt idx="16">
                  <c:v>2006</c:v>
                </c:pt>
                <c:pt idx="17">
                  <c:v>2005</c:v>
                </c:pt>
                <c:pt idx="18">
                  <c:v>2004</c:v>
                </c:pt>
                <c:pt idx="19">
                  <c:v>2003</c:v>
                </c:pt>
                <c:pt idx="20">
                  <c:v>2002</c:v>
                </c:pt>
                <c:pt idx="21">
                  <c:v>2001</c:v>
                </c:pt>
                <c:pt idx="22">
                  <c:v>2000</c:v>
                </c:pt>
                <c:pt idx="23">
                  <c:v>1999</c:v>
                </c:pt>
                <c:pt idx="24">
                  <c:v>1998</c:v>
                </c:pt>
                <c:pt idx="25">
                  <c:v>1997</c:v>
                </c:pt>
                <c:pt idx="26">
                  <c:v>1996</c:v>
                </c:pt>
                <c:pt idx="27">
                  <c:v>1995</c:v>
                </c:pt>
                <c:pt idx="28">
                  <c:v>1994</c:v>
                </c:pt>
                <c:pt idx="29">
                  <c:v>1993</c:v>
                </c:pt>
                <c:pt idx="30">
                  <c:v>1992</c:v>
                </c:pt>
                <c:pt idx="31">
                  <c:v>1991</c:v>
                </c:pt>
                <c:pt idx="32">
                  <c:v>1990</c:v>
                </c:pt>
                <c:pt idx="33">
                  <c:v>1989</c:v>
                </c:pt>
                <c:pt idx="34">
                  <c:v>1988</c:v>
                </c:pt>
                <c:pt idx="35">
                  <c:v>1987</c:v>
                </c:pt>
                <c:pt idx="36">
                  <c:v>1986</c:v>
                </c:pt>
                <c:pt idx="37">
                  <c:v>1985</c:v>
                </c:pt>
                <c:pt idx="38">
                  <c:v>1984</c:v>
                </c:pt>
                <c:pt idx="39">
                  <c:v>1983</c:v>
                </c:pt>
                <c:pt idx="40">
                  <c:v>1982</c:v>
                </c:pt>
                <c:pt idx="41">
                  <c:v>1981</c:v>
                </c:pt>
                <c:pt idx="42">
                  <c:v>1980</c:v>
                </c:pt>
                <c:pt idx="43">
                  <c:v>1979</c:v>
                </c:pt>
                <c:pt idx="44">
                  <c:v>1978</c:v>
                </c:pt>
                <c:pt idx="45">
                  <c:v>1977</c:v>
                </c:pt>
                <c:pt idx="46">
                  <c:v>1976</c:v>
                </c:pt>
                <c:pt idx="47">
                  <c:v>1975</c:v>
                </c:pt>
                <c:pt idx="48">
                  <c:v>1974</c:v>
                </c:pt>
                <c:pt idx="49">
                  <c:v>1973</c:v>
                </c:pt>
                <c:pt idx="50">
                  <c:v>1972</c:v>
                </c:pt>
              </c:numCache>
            </c:numRef>
          </c:xVal>
          <c:yVal>
            <c:numRef>
              <c:f>dynamic!$K$16:$K$66</c:f>
              <c:numCache>
                <c:formatCode>General</c:formatCode>
                <c:ptCount val="51"/>
                <c:pt idx="0">
                  <c:v>5</c:v>
                </c:pt>
                <c:pt idx="1">
                  <c:v>21</c:v>
                </c:pt>
                <c:pt idx="2">
                  <c:v>16</c:v>
                </c:pt>
                <c:pt idx="3">
                  <c:v>11</c:v>
                </c:pt>
                <c:pt idx="4">
                  <c:v>15</c:v>
                </c:pt>
                <c:pt idx="5">
                  <c:v>5</c:v>
                </c:pt>
                <c:pt idx="6">
                  <c:v>10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3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C6-472E-B35C-48CC8198825D}"/>
            </c:ext>
          </c:extLst>
        </c:ser>
        <c:ser>
          <c:idx val="1"/>
          <c:order val="1"/>
          <c:tx>
            <c:strRef>
              <c:f>dynamic!$L$15</c:f>
              <c:strCache>
                <c:ptCount val="1"/>
                <c:pt idx="0">
                  <c:v>scopus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chemeClr val="accent2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A3C6-472E-B35C-48CC8198825D}"/>
              </c:ext>
            </c:extLst>
          </c:dPt>
          <c:xVal>
            <c:numRef>
              <c:f>dynamic!$J$16:$J$66</c:f>
              <c:numCache>
                <c:formatCode>General</c:formatCode>
                <c:ptCount val="51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  <c:pt idx="3">
                  <c:v>2019</c:v>
                </c:pt>
                <c:pt idx="4">
                  <c:v>2018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2014</c:v>
                </c:pt>
                <c:pt idx="9">
                  <c:v>2013</c:v>
                </c:pt>
                <c:pt idx="10">
                  <c:v>2012</c:v>
                </c:pt>
                <c:pt idx="11">
                  <c:v>2011</c:v>
                </c:pt>
                <c:pt idx="12">
                  <c:v>2010</c:v>
                </c:pt>
                <c:pt idx="13">
                  <c:v>2009</c:v>
                </c:pt>
                <c:pt idx="14">
                  <c:v>2008</c:v>
                </c:pt>
                <c:pt idx="15">
                  <c:v>2007</c:v>
                </c:pt>
                <c:pt idx="16">
                  <c:v>2006</c:v>
                </c:pt>
                <c:pt idx="17">
                  <c:v>2005</c:v>
                </c:pt>
                <c:pt idx="18">
                  <c:v>2004</c:v>
                </c:pt>
                <c:pt idx="19">
                  <c:v>2003</c:v>
                </c:pt>
                <c:pt idx="20">
                  <c:v>2002</c:v>
                </c:pt>
                <c:pt idx="21">
                  <c:v>2001</c:v>
                </c:pt>
                <c:pt idx="22">
                  <c:v>2000</c:v>
                </c:pt>
                <c:pt idx="23">
                  <c:v>1999</c:v>
                </c:pt>
                <c:pt idx="24">
                  <c:v>1998</c:v>
                </c:pt>
                <c:pt idx="25">
                  <c:v>1997</c:v>
                </c:pt>
                <c:pt idx="26">
                  <c:v>1996</c:v>
                </c:pt>
                <c:pt idx="27">
                  <c:v>1995</c:v>
                </c:pt>
                <c:pt idx="28">
                  <c:v>1994</c:v>
                </c:pt>
                <c:pt idx="29">
                  <c:v>1993</c:v>
                </c:pt>
                <c:pt idx="30">
                  <c:v>1992</c:v>
                </c:pt>
                <c:pt idx="31">
                  <c:v>1991</c:v>
                </c:pt>
                <c:pt idx="32">
                  <c:v>1990</c:v>
                </c:pt>
                <c:pt idx="33">
                  <c:v>1989</c:v>
                </c:pt>
                <c:pt idx="34">
                  <c:v>1988</c:v>
                </c:pt>
                <c:pt idx="35">
                  <c:v>1987</c:v>
                </c:pt>
                <c:pt idx="36">
                  <c:v>1986</c:v>
                </c:pt>
                <c:pt idx="37">
                  <c:v>1985</c:v>
                </c:pt>
                <c:pt idx="38">
                  <c:v>1984</c:v>
                </c:pt>
                <c:pt idx="39">
                  <c:v>1983</c:v>
                </c:pt>
                <c:pt idx="40">
                  <c:v>1982</c:v>
                </c:pt>
                <c:pt idx="41">
                  <c:v>1981</c:v>
                </c:pt>
                <c:pt idx="42">
                  <c:v>1980</c:v>
                </c:pt>
                <c:pt idx="43">
                  <c:v>1979</c:v>
                </c:pt>
                <c:pt idx="44">
                  <c:v>1978</c:v>
                </c:pt>
                <c:pt idx="45">
                  <c:v>1977</c:v>
                </c:pt>
                <c:pt idx="46">
                  <c:v>1976</c:v>
                </c:pt>
                <c:pt idx="47">
                  <c:v>1975</c:v>
                </c:pt>
                <c:pt idx="48">
                  <c:v>1974</c:v>
                </c:pt>
                <c:pt idx="49">
                  <c:v>1973</c:v>
                </c:pt>
                <c:pt idx="50">
                  <c:v>1972</c:v>
                </c:pt>
              </c:numCache>
            </c:numRef>
          </c:xVal>
          <c:yVal>
            <c:numRef>
              <c:f>dynamic!$L$16:$L$66</c:f>
              <c:numCache>
                <c:formatCode>General</c:formatCode>
                <c:ptCount val="51"/>
                <c:pt idx="0">
                  <c:v>13</c:v>
                </c:pt>
                <c:pt idx="1">
                  <c:v>25</c:v>
                </c:pt>
                <c:pt idx="2">
                  <c:v>16</c:v>
                </c:pt>
                <c:pt idx="3">
                  <c:v>12</c:v>
                </c:pt>
                <c:pt idx="4">
                  <c:v>17</c:v>
                </c:pt>
                <c:pt idx="5">
                  <c:v>11</c:v>
                </c:pt>
                <c:pt idx="6">
                  <c:v>9</c:v>
                </c:pt>
                <c:pt idx="7">
                  <c:v>10</c:v>
                </c:pt>
                <c:pt idx="8">
                  <c:v>9</c:v>
                </c:pt>
                <c:pt idx="9">
                  <c:v>7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5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3C6-472E-B35C-48CC8198825D}"/>
            </c:ext>
          </c:extLst>
        </c:ser>
        <c:ser>
          <c:idx val="2"/>
          <c:order val="2"/>
          <c:tx>
            <c:strRef>
              <c:f>dynamic!$M$15</c:f>
              <c:strCache>
                <c:ptCount val="1"/>
                <c:pt idx="0">
                  <c:v>wos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3C6-472E-B35C-48CC8198825D}"/>
              </c:ext>
            </c:extLst>
          </c:dPt>
          <c:xVal>
            <c:numRef>
              <c:f>dynamic!$J$16:$J$66</c:f>
              <c:numCache>
                <c:formatCode>General</c:formatCode>
                <c:ptCount val="51"/>
                <c:pt idx="0">
                  <c:v>2022</c:v>
                </c:pt>
                <c:pt idx="1">
                  <c:v>2021</c:v>
                </c:pt>
                <c:pt idx="2">
                  <c:v>2020</c:v>
                </c:pt>
                <c:pt idx="3">
                  <c:v>2019</c:v>
                </c:pt>
                <c:pt idx="4">
                  <c:v>2018</c:v>
                </c:pt>
                <c:pt idx="5">
                  <c:v>2017</c:v>
                </c:pt>
                <c:pt idx="6">
                  <c:v>2016</c:v>
                </c:pt>
                <c:pt idx="7">
                  <c:v>2015</c:v>
                </c:pt>
                <c:pt idx="8">
                  <c:v>2014</c:v>
                </c:pt>
                <c:pt idx="9">
                  <c:v>2013</c:v>
                </c:pt>
                <c:pt idx="10">
                  <c:v>2012</c:v>
                </c:pt>
                <c:pt idx="11">
                  <c:v>2011</c:v>
                </c:pt>
                <c:pt idx="12">
                  <c:v>2010</c:v>
                </c:pt>
                <c:pt idx="13">
                  <c:v>2009</c:v>
                </c:pt>
                <c:pt idx="14">
                  <c:v>2008</c:v>
                </c:pt>
                <c:pt idx="15">
                  <c:v>2007</c:v>
                </c:pt>
                <c:pt idx="16">
                  <c:v>2006</c:v>
                </c:pt>
                <c:pt idx="17">
                  <c:v>2005</c:v>
                </c:pt>
                <c:pt idx="18">
                  <c:v>2004</c:v>
                </c:pt>
                <c:pt idx="19">
                  <c:v>2003</c:v>
                </c:pt>
                <c:pt idx="20">
                  <c:v>2002</c:v>
                </c:pt>
                <c:pt idx="21">
                  <c:v>2001</c:v>
                </c:pt>
                <c:pt idx="22">
                  <c:v>2000</c:v>
                </c:pt>
                <c:pt idx="23">
                  <c:v>1999</c:v>
                </c:pt>
                <c:pt idx="24">
                  <c:v>1998</c:v>
                </c:pt>
                <c:pt idx="25">
                  <c:v>1997</c:v>
                </c:pt>
                <c:pt idx="26">
                  <c:v>1996</c:v>
                </c:pt>
                <c:pt idx="27">
                  <c:v>1995</c:v>
                </c:pt>
                <c:pt idx="28">
                  <c:v>1994</c:v>
                </c:pt>
                <c:pt idx="29">
                  <c:v>1993</c:v>
                </c:pt>
                <c:pt idx="30">
                  <c:v>1992</c:v>
                </c:pt>
                <c:pt idx="31">
                  <c:v>1991</c:v>
                </c:pt>
                <c:pt idx="32">
                  <c:v>1990</c:v>
                </c:pt>
                <c:pt idx="33">
                  <c:v>1989</c:v>
                </c:pt>
                <c:pt idx="34">
                  <c:v>1988</c:v>
                </c:pt>
                <c:pt idx="35">
                  <c:v>1987</c:v>
                </c:pt>
                <c:pt idx="36">
                  <c:v>1986</c:v>
                </c:pt>
                <c:pt idx="37">
                  <c:v>1985</c:v>
                </c:pt>
                <c:pt idx="38">
                  <c:v>1984</c:v>
                </c:pt>
                <c:pt idx="39">
                  <c:v>1983</c:v>
                </c:pt>
                <c:pt idx="40">
                  <c:v>1982</c:v>
                </c:pt>
                <c:pt idx="41">
                  <c:v>1981</c:v>
                </c:pt>
                <c:pt idx="42">
                  <c:v>1980</c:v>
                </c:pt>
                <c:pt idx="43">
                  <c:v>1979</c:v>
                </c:pt>
                <c:pt idx="44">
                  <c:v>1978</c:v>
                </c:pt>
                <c:pt idx="45">
                  <c:v>1977</c:v>
                </c:pt>
                <c:pt idx="46">
                  <c:v>1976</c:v>
                </c:pt>
                <c:pt idx="47">
                  <c:v>1975</c:v>
                </c:pt>
                <c:pt idx="48">
                  <c:v>1974</c:v>
                </c:pt>
                <c:pt idx="49">
                  <c:v>1973</c:v>
                </c:pt>
                <c:pt idx="50">
                  <c:v>1972</c:v>
                </c:pt>
              </c:numCache>
            </c:numRef>
          </c:xVal>
          <c:yVal>
            <c:numRef>
              <c:f>dynamic!$M$16:$M$66</c:f>
              <c:numCache>
                <c:formatCode>General</c:formatCode>
                <c:ptCount val="51"/>
                <c:pt idx="0">
                  <c:v>9</c:v>
                </c:pt>
                <c:pt idx="1">
                  <c:v>17</c:v>
                </c:pt>
                <c:pt idx="2">
                  <c:v>14</c:v>
                </c:pt>
                <c:pt idx="3">
                  <c:v>9</c:v>
                </c:pt>
                <c:pt idx="4">
                  <c:v>17</c:v>
                </c:pt>
                <c:pt idx="5">
                  <c:v>6</c:v>
                </c:pt>
                <c:pt idx="6">
                  <c:v>11</c:v>
                </c:pt>
                <c:pt idx="7">
                  <c:v>8</c:v>
                </c:pt>
                <c:pt idx="8">
                  <c:v>7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5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3C6-472E-B35C-48CC81988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487728"/>
        <c:axId val="1562488144"/>
      </c:scatterChart>
      <c:valAx>
        <c:axId val="1562487728"/>
        <c:scaling>
          <c:orientation val="minMax"/>
          <c:max val="2022"/>
          <c:min val="197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48567407407407409"/>
              <c:y val="0.925926010101009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2488144"/>
        <c:crosses val="autoZero"/>
        <c:crossBetween val="midCat"/>
      </c:valAx>
      <c:valAx>
        <c:axId val="1562488144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#publications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2487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7.7411736149150187E-2"/>
          <c:y val="0.16118548409903541"/>
          <c:w val="0.2120599537037037"/>
          <c:h val="0.133514494703182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374</xdr:colOff>
      <xdr:row>0</xdr:row>
      <xdr:rowOff>160733</xdr:rowOff>
    </xdr:from>
    <xdr:to>
      <xdr:col>21</xdr:col>
      <xdr:colOff>43977</xdr:colOff>
      <xdr:row>25</xdr:row>
      <xdr:rowOff>15130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C99CFC-76E2-405F-95F4-AB5345E0D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374</xdr:colOff>
      <xdr:row>0</xdr:row>
      <xdr:rowOff>160733</xdr:rowOff>
    </xdr:from>
    <xdr:to>
      <xdr:col>21</xdr:col>
      <xdr:colOff>43977</xdr:colOff>
      <xdr:row>25</xdr:row>
      <xdr:rowOff>15130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0E614E-EC75-4620-A93E-8E031DC6A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usa/Dev/slr-ltlm-mr/data/results/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luded"/>
      <sheetName val="analysis-db"/>
      <sheetName val="year"/>
      <sheetName val="venue"/>
    </sheetNames>
    <sheetDataSet>
      <sheetData sheetId="0" refreshError="1"/>
      <sheetData sheetId="1" refreshError="1"/>
      <sheetData sheetId="2">
        <row r="2">
          <cell r="A2">
            <v>2002</v>
          </cell>
          <cell r="B2">
            <v>1</v>
          </cell>
        </row>
        <row r="3">
          <cell r="A3">
            <v>2003</v>
          </cell>
          <cell r="B3">
            <v>0</v>
          </cell>
        </row>
        <row r="4">
          <cell r="A4">
            <v>2004</v>
          </cell>
          <cell r="B4">
            <v>0</v>
          </cell>
        </row>
        <row r="5">
          <cell r="A5">
            <v>2005</v>
          </cell>
          <cell r="B5">
            <v>0</v>
          </cell>
        </row>
        <row r="6">
          <cell r="A6">
            <v>2006</v>
          </cell>
          <cell r="B6">
            <v>0</v>
          </cell>
        </row>
        <row r="7">
          <cell r="A7">
            <v>2007</v>
          </cell>
          <cell r="B7">
            <v>1</v>
          </cell>
        </row>
        <row r="8">
          <cell r="A8">
            <v>2008</v>
          </cell>
          <cell r="B8">
            <v>0</v>
          </cell>
        </row>
        <row r="9">
          <cell r="A9">
            <v>2009</v>
          </cell>
          <cell r="B9">
            <v>6</v>
          </cell>
        </row>
        <row r="10">
          <cell r="A10">
            <v>2010</v>
          </cell>
          <cell r="B10">
            <v>3</v>
          </cell>
        </row>
        <row r="11">
          <cell r="A11">
            <v>2011</v>
          </cell>
          <cell r="B11">
            <v>2</v>
          </cell>
        </row>
        <row r="12">
          <cell r="A12">
            <v>2012</v>
          </cell>
          <cell r="B12">
            <v>4</v>
          </cell>
        </row>
        <row r="13">
          <cell r="A13">
            <v>2013</v>
          </cell>
          <cell r="B13">
            <v>13</v>
          </cell>
        </row>
        <row r="14">
          <cell r="A14">
            <v>2014</v>
          </cell>
          <cell r="B14">
            <v>4</v>
          </cell>
        </row>
        <row r="15">
          <cell r="A15">
            <v>2015</v>
          </cell>
          <cell r="B15">
            <v>10</v>
          </cell>
        </row>
        <row r="16">
          <cell r="A16">
            <v>2016</v>
          </cell>
          <cell r="B16">
            <v>10</v>
          </cell>
        </row>
        <row r="17">
          <cell r="A17">
            <v>2017</v>
          </cell>
          <cell r="B17">
            <v>8</v>
          </cell>
        </row>
        <row r="18">
          <cell r="A18">
            <v>2018</v>
          </cell>
          <cell r="B18">
            <v>20</v>
          </cell>
        </row>
        <row r="19">
          <cell r="A19">
            <v>2019</v>
          </cell>
          <cell r="B19">
            <v>15</v>
          </cell>
        </row>
        <row r="20">
          <cell r="A20">
            <v>2020</v>
          </cell>
          <cell r="B20">
            <v>14</v>
          </cell>
        </row>
        <row r="21">
          <cell r="A21">
            <v>2021</v>
          </cell>
          <cell r="B21">
            <v>23</v>
          </cell>
        </row>
        <row r="22">
          <cell r="A22">
            <v>2022</v>
          </cell>
          <cell r="B22">
            <v>8</v>
          </cell>
        </row>
      </sheetData>
      <sheetData sheetId="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B66D98-22FE-4DCB-95B2-0D4DC841928E}" name="inspec" displayName="inspec" ref="A15:B42" totalsRowShown="0" headerRowDxfId="32" dataDxfId="33">
  <autoFilter ref="A15:B42" xr:uid="{09B66D98-22FE-4DCB-95B2-0D4DC841928E}"/>
  <tableColumns count="2">
    <tableColumn id="1" xr3:uid="{A5AF13F0-D693-4178-8889-81B2B6E721C7}" name="year" dataDxfId="35"/>
    <tableColumn id="2" xr3:uid="{9D0006F5-A602-4634-B5A3-747E41A587EB}" name="#results" dataDxfId="3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21D425-1663-4F88-B826-C96C9CA938FE}" name="scopus" displayName="scopus" ref="D15:E41" totalsRowShown="0" headerRowDxfId="28" dataDxfId="29">
  <autoFilter ref="D15:E41" xr:uid="{9221D425-1663-4F88-B826-C96C9CA938FE}"/>
  <tableColumns count="2">
    <tableColumn id="1" xr3:uid="{EE052C57-F0D4-4E1B-85B0-2ADA2F8E7389}" name="year" dataDxfId="31"/>
    <tableColumn id="2" xr3:uid="{5333A335-347A-4293-8815-CC96049A87CB}" name="#results" dataDxfId="3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52218B-62D7-4F97-99A8-6882C3821925}" name="wos" displayName="wos" ref="G15:H41" totalsRowShown="0" headerRowDxfId="24" dataDxfId="25">
  <autoFilter ref="G15:H41" xr:uid="{6252218B-62D7-4F97-99A8-6882C3821925}"/>
  <tableColumns count="2">
    <tableColumn id="1" xr3:uid="{5A8872D4-E594-421B-A210-3DB405499663}" name="year" dataDxfId="27"/>
    <tableColumn id="2" xr3:uid="{326AC088-6330-4EA4-8B60-F1EF92094D6E}" name="#results" dataDxfId="2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BBB92C-113D-484D-903C-4876731973E1}" name="all" displayName="all" ref="J15:M66" totalsRowShown="0" headerRowDxfId="23" dataDxfId="22">
  <autoFilter ref="J15:M66" xr:uid="{3ABBB92C-113D-484D-903C-4876731973E1}"/>
  <tableColumns count="4">
    <tableColumn id="1" xr3:uid="{866E3BD3-D8BA-4E56-B088-A43187536158}" name="year" dataDxfId="21"/>
    <tableColumn id="2" xr3:uid="{3BA50DD2-6160-4265-8D84-BC1E1C1236F3}" name="inspec" dataDxfId="20">
      <calculatedColumnFormula>SUMIF(inspec[year],all[[#This Row],[year]],inspec['#results])</calculatedColumnFormula>
    </tableColumn>
    <tableColumn id="3" xr3:uid="{D4A1A6E4-1354-4516-9924-3164992CBDC3}" name="scopus" dataDxfId="19">
      <calculatedColumnFormula>SUMIF(scopus[year],all[[#This Row],[year]],scopus['#results])</calculatedColumnFormula>
    </tableColumn>
    <tableColumn id="4" xr3:uid="{480135A2-82A7-4A7D-B619-0BD61CC0F612}" name="wos" dataDxfId="18">
      <calculatedColumnFormula>SUMIF(wos[year],all[[#This Row],[year]],wos['#results])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968F83-D418-4201-B8F6-CCE1ED587AB7}" name="inspec_dyn" displayName="inspec_dyn" ref="A15:B36" totalsRowShown="0" headerRowDxfId="17" dataDxfId="16">
  <autoFilter ref="A15:B36" xr:uid="{09B66D98-22FE-4DCB-95B2-0D4DC841928E}"/>
  <tableColumns count="2">
    <tableColumn id="1" xr3:uid="{82C4FCB8-A708-4055-8426-95892F123D4F}" name="year" dataDxfId="15"/>
    <tableColumn id="2" xr3:uid="{D7C8EE1F-4CFD-4C71-97DC-C009A6C8AB67}" name="#results" dataDxfId="1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FBA833E-4156-49D1-B0FD-887694E811D9}" name="scopus_dyn" displayName="scopus_dyn" ref="D15:E38" totalsRowShown="0" headerRowDxfId="13" dataDxfId="12">
  <autoFilter ref="D15:E38" xr:uid="{9221D425-1663-4F88-B826-C96C9CA938FE}"/>
  <tableColumns count="2">
    <tableColumn id="1" xr3:uid="{74DDFB86-1DD1-4120-81EE-1498CF6F2BEF}" name="year" dataDxfId="11"/>
    <tableColumn id="2" xr3:uid="{F8D740FE-FE66-4CF7-959D-15698CA7318E}" name="#results" dataDxfId="1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3F0E7D-74CE-427F-B68B-FE4D02F1E80E}" name="wos_dyn" displayName="wos_dyn" ref="G15:H36" totalsRowShown="0" headerRowDxfId="9" dataDxfId="8">
  <autoFilter ref="G15:H36" xr:uid="{6252218B-62D7-4F97-99A8-6882C3821925}"/>
  <tableColumns count="2">
    <tableColumn id="1" xr3:uid="{70704E7F-6221-43EA-A1A0-0D659C5BCA52}" name="year" dataDxfId="7"/>
    <tableColumn id="2" xr3:uid="{1AA3ADCF-C0C6-4AAF-9A63-C8313B44E00E}" name="#results" dataDxfId="6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923BE37-5380-4062-ACC1-B61D002CD743}" name="all_dyn" displayName="all_dyn" ref="J15:M66" totalsRowShown="0" headerRowDxfId="5" dataDxfId="4">
  <autoFilter ref="J15:M66" xr:uid="{3ABBB92C-113D-484D-903C-4876731973E1}"/>
  <tableColumns count="4">
    <tableColumn id="1" xr3:uid="{6B4BB586-FE35-449B-A983-C62023449FBE}" name="year" dataDxfId="3"/>
    <tableColumn id="2" xr3:uid="{07402557-5559-48FE-AAB4-DEDEB95C39BC}" name="inspec" dataDxfId="2">
      <calculatedColumnFormula>SUMIF(inspec_dyn[year],all_dyn[[#This Row],[year]],inspec_dyn['#results])</calculatedColumnFormula>
    </tableColumn>
    <tableColumn id="3" xr3:uid="{3C5C6BBD-3AF7-4387-934D-F17EA4F487A7}" name="scopus" dataDxfId="1">
      <calculatedColumnFormula>SUMIF(scopus_dyn[year],all_dyn[[#This Row],[year]],scopus_dyn['#results])</calculatedColumnFormula>
    </tableColumn>
    <tableColumn id="4" xr3:uid="{89D594BF-4C7E-441A-B4A5-E40CA61E64B8}" name="wos" dataDxfId="0">
      <calculatedColumnFormula>SUMIF(wos_dyn[year],all_dyn[[#This Row],[year]],wos_dyn['#results])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zoomScale="115" zoomScaleNormal="115" workbookViewId="0"/>
  </sheetViews>
  <sheetFormatPr defaultRowHeight="12.75" x14ac:dyDescent="0.2"/>
  <cols>
    <col min="1" max="1" width="9.140625" style="1"/>
    <col min="2" max="2" width="10" style="1" customWidth="1"/>
    <col min="3" max="3" width="1.7109375" style="1" customWidth="1"/>
    <col min="4" max="4" width="9.140625" style="1"/>
    <col min="5" max="5" width="10" style="1" customWidth="1"/>
    <col min="6" max="6" width="1.7109375" style="1" customWidth="1"/>
    <col min="7" max="7" width="9.140625" style="1"/>
    <col min="8" max="8" width="10" style="1" customWidth="1"/>
    <col min="9" max="9" width="4.7109375" style="1" customWidth="1"/>
    <col min="10" max="11" width="9.140625" style="1"/>
    <col min="12" max="12" width="9.28515625" style="1" customWidth="1"/>
    <col min="13" max="13" width="9.140625" style="1"/>
    <col min="14" max="14" width="4.7109375" style="1" customWidth="1"/>
    <col min="15" max="16384" width="9.140625" style="1"/>
  </cols>
  <sheetData>
    <row r="1" spans="1:13" x14ac:dyDescent="0.2">
      <c r="A1" s="1" t="s">
        <v>1</v>
      </c>
    </row>
    <row r="2" spans="1:13" x14ac:dyDescent="0.2">
      <c r="A2" s="2" t="s">
        <v>0</v>
      </c>
    </row>
    <row r="4" spans="1:13" x14ac:dyDescent="0.2">
      <c r="A4" s="1" t="s">
        <v>2</v>
      </c>
    </row>
    <row r="5" spans="1:13" x14ac:dyDescent="0.2">
      <c r="A5" s="2" t="s">
        <v>4</v>
      </c>
      <c r="B5" s="1" t="s">
        <v>16</v>
      </c>
    </row>
    <row r="6" spans="1:13" x14ac:dyDescent="0.2">
      <c r="A6" s="2" t="s">
        <v>3</v>
      </c>
      <c r="B6" s="1" t="s">
        <v>6</v>
      </c>
    </row>
    <row r="7" spans="1:13" x14ac:dyDescent="0.2">
      <c r="A7" s="2" t="s">
        <v>5</v>
      </c>
      <c r="B7" s="1" t="s">
        <v>17</v>
      </c>
    </row>
    <row r="8" spans="1:13" x14ac:dyDescent="0.2">
      <c r="A8" s="2"/>
    </row>
    <row r="9" spans="1:13" x14ac:dyDescent="0.2">
      <c r="A9" s="3" t="s">
        <v>10</v>
      </c>
    </row>
    <row r="10" spans="1:13" x14ac:dyDescent="0.2">
      <c r="A10" s="2" t="s">
        <v>11</v>
      </c>
    </row>
    <row r="12" spans="1:13" x14ac:dyDescent="0.2">
      <c r="A12" s="1" t="s">
        <v>7</v>
      </c>
      <c r="L12" s="1" t="s">
        <v>13</v>
      </c>
      <c r="M12" s="1" t="s">
        <v>14</v>
      </c>
    </row>
    <row r="13" spans="1:13" x14ac:dyDescent="0.2">
      <c r="A13" s="2" t="s">
        <v>4</v>
      </c>
      <c r="B13" s="1">
        <f>SUM(inspec['#results])</f>
        <v>454</v>
      </c>
      <c r="D13" s="2" t="s">
        <v>3</v>
      </c>
      <c r="E13" s="1">
        <f>SUM(scopus['#results])</f>
        <v>558</v>
      </c>
      <c r="G13" s="2" t="s">
        <v>5</v>
      </c>
      <c r="H13" s="1">
        <f>SUM(wos['#results])</f>
        <v>412</v>
      </c>
      <c r="J13" s="2" t="s">
        <v>12</v>
      </c>
      <c r="L13" s="1">
        <f>MIN(inspec[year],scopus[year],wos[year])</f>
        <v>1974</v>
      </c>
      <c r="M13" s="1">
        <f>MAX(inspec[year],scopus[year],wos[year])</f>
        <v>2022</v>
      </c>
    </row>
    <row r="14" spans="1:13" x14ac:dyDescent="0.2">
      <c r="A14" s="2"/>
      <c r="D14" s="2"/>
    </row>
    <row r="15" spans="1:13" x14ac:dyDescent="0.2">
      <c r="A15" s="1" t="s">
        <v>8</v>
      </c>
      <c r="B15" s="1" t="s">
        <v>9</v>
      </c>
      <c r="D15" s="1" t="s">
        <v>8</v>
      </c>
      <c r="E15" s="1" t="s">
        <v>9</v>
      </c>
      <c r="G15" s="1" t="s">
        <v>8</v>
      </c>
      <c r="H15" s="1" t="s">
        <v>9</v>
      </c>
      <c r="J15" s="1" t="s">
        <v>8</v>
      </c>
      <c r="K15" s="1" t="s">
        <v>4</v>
      </c>
      <c r="L15" s="1" t="s">
        <v>3</v>
      </c>
      <c r="M15" s="1" t="s">
        <v>5</v>
      </c>
    </row>
    <row r="16" spans="1:13" x14ac:dyDescent="0.2">
      <c r="A16" s="1">
        <v>2022</v>
      </c>
      <c r="B16" s="1">
        <v>28</v>
      </c>
      <c r="D16" s="1">
        <v>2022</v>
      </c>
      <c r="E16" s="1">
        <v>52</v>
      </c>
      <c r="G16" s="1">
        <v>2022</v>
      </c>
      <c r="H16" s="1">
        <v>32</v>
      </c>
      <c r="J16" s="1">
        <v>2022</v>
      </c>
      <c r="K16" s="1">
        <f>SUMIF(inspec[year],all[[#This Row],[year]],inspec['#results])</f>
        <v>28</v>
      </c>
      <c r="L16" s="1">
        <f>SUMIF(scopus[year],all[[#This Row],[year]],scopus['#results])</f>
        <v>52</v>
      </c>
      <c r="M16" s="1">
        <f>SUMIF(wos[year],all[[#This Row],[year]],wos['#results])</f>
        <v>32</v>
      </c>
    </row>
    <row r="17" spans="1:13" x14ac:dyDescent="0.2">
      <c r="A17" s="1">
        <v>2021</v>
      </c>
      <c r="B17" s="1">
        <v>57</v>
      </c>
      <c r="D17" s="1">
        <v>2021</v>
      </c>
      <c r="E17" s="1">
        <v>76</v>
      </c>
      <c r="G17" s="1">
        <v>2021</v>
      </c>
      <c r="H17" s="1">
        <v>62</v>
      </c>
      <c r="J17" s="1">
        <v>2021</v>
      </c>
      <c r="K17" s="1">
        <f>SUMIF(inspec[year],all[[#This Row],[year]],inspec['#results])</f>
        <v>57</v>
      </c>
      <c r="L17" s="1">
        <f>SUMIF(scopus[year],all[[#This Row],[year]],scopus['#results])</f>
        <v>76</v>
      </c>
      <c r="M17" s="1">
        <f>SUMIF(wos[year],all[[#This Row],[year]],wos['#results])</f>
        <v>62</v>
      </c>
    </row>
    <row r="18" spans="1:13" x14ac:dyDescent="0.2">
      <c r="A18" s="1">
        <v>2020</v>
      </c>
      <c r="B18" s="1">
        <v>52</v>
      </c>
      <c r="D18" s="1">
        <v>2020</v>
      </c>
      <c r="E18" s="1">
        <v>55</v>
      </c>
      <c r="G18" s="1">
        <v>2020</v>
      </c>
      <c r="H18" s="1">
        <v>39</v>
      </c>
      <c r="J18" s="1">
        <v>2020</v>
      </c>
      <c r="K18" s="1">
        <f>SUMIF(inspec[year],all[[#This Row],[year]],inspec['#results])</f>
        <v>52</v>
      </c>
      <c r="L18" s="1">
        <f>SUMIF(scopus[year],all[[#This Row],[year]],scopus['#results])</f>
        <v>55</v>
      </c>
      <c r="M18" s="1">
        <f>SUMIF(wos[year],all[[#This Row],[year]],wos['#results])</f>
        <v>39</v>
      </c>
    </row>
    <row r="19" spans="1:13" x14ac:dyDescent="0.2">
      <c r="A19" s="1">
        <v>2019</v>
      </c>
      <c r="B19" s="1">
        <v>74</v>
      </c>
      <c r="D19" s="1">
        <v>2019</v>
      </c>
      <c r="E19" s="1">
        <v>66</v>
      </c>
      <c r="G19" s="1">
        <v>2019</v>
      </c>
      <c r="H19" s="1">
        <v>50</v>
      </c>
      <c r="J19" s="1">
        <v>2019</v>
      </c>
      <c r="K19" s="1">
        <f>SUMIF(inspec[year],all[[#This Row],[year]],inspec['#results])</f>
        <v>74</v>
      </c>
      <c r="L19" s="1">
        <f>SUMIF(scopus[year],all[[#This Row],[year]],scopus['#results])</f>
        <v>66</v>
      </c>
      <c r="M19" s="1">
        <f>SUMIF(wos[year],all[[#This Row],[year]],wos['#results])</f>
        <v>50</v>
      </c>
    </row>
    <row r="20" spans="1:13" x14ac:dyDescent="0.2">
      <c r="A20" s="1">
        <v>2018</v>
      </c>
      <c r="B20" s="1">
        <v>39</v>
      </c>
      <c r="D20" s="1">
        <v>2018</v>
      </c>
      <c r="E20" s="1">
        <v>45</v>
      </c>
      <c r="G20" s="1">
        <v>2018</v>
      </c>
      <c r="H20" s="1">
        <v>38</v>
      </c>
      <c r="J20" s="1">
        <v>2018</v>
      </c>
      <c r="K20" s="1">
        <f>SUMIF(inspec[year],all[[#This Row],[year]],inspec['#results])</f>
        <v>39</v>
      </c>
      <c r="L20" s="1">
        <f>SUMIF(scopus[year],all[[#This Row],[year]],scopus['#results])</f>
        <v>45</v>
      </c>
      <c r="M20" s="1">
        <f>SUMIF(wos[year],all[[#This Row],[year]],wos['#results])</f>
        <v>38</v>
      </c>
    </row>
    <row r="21" spans="1:13" x14ac:dyDescent="0.2">
      <c r="A21" s="1">
        <v>2017</v>
      </c>
      <c r="B21" s="1">
        <v>28</v>
      </c>
      <c r="D21" s="1">
        <v>2017</v>
      </c>
      <c r="E21" s="1">
        <v>35</v>
      </c>
      <c r="G21" s="1">
        <v>2017</v>
      </c>
      <c r="H21" s="1">
        <v>17</v>
      </c>
      <c r="J21" s="1">
        <v>2017</v>
      </c>
      <c r="K21" s="1">
        <f>SUMIF(inspec[year],all[[#This Row],[year]],inspec['#results])</f>
        <v>28</v>
      </c>
      <c r="L21" s="1">
        <f>SUMIF(scopus[year],all[[#This Row],[year]],scopus['#results])</f>
        <v>35</v>
      </c>
      <c r="M21" s="1">
        <f>SUMIF(wos[year],all[[#This Row],[year]],wos['#results])</f>
        <v>17</v>
      </c>
    </row>
    <row r="22" spans="1:13" x14ac:dyDescent="0.2">
      <c r="A22" s="1">
        <v>2016</v>
      </c>
      <c r="B22" s="1">
        <v>32</v>
      </c>
      <c r="D22" s="1">
        <v>2016</v>
      </c>
      <c r="E22" s="1">
        <v>39</v>
      </c>
      <c r="G22" s="1">
        <v>2016</v>
      </c>
      <c r="H22" s="1">
        <v>41</v>
      </c>
      <c r="J22" s="1">
        <v>2016</v>
      </c>
      <c r="K22" s="1">
        <f>SUMIF(inspec[year],all[[#This Row],[year]],inspec['#results])</f>
        <v>32</v>
      </c>
      <c r="L22" s="1">
        <f>SUMIF(scopus[year],all[[#This Row],[year]],scopus['#results])</f>
        <v>39</v>
      </c>
      <c r="M22" s="1">
        <f>SUMIF(wos[year],all[[#This Row],[year]],wos['#results])</f>
        <v>41</v>
      </c>
    </row>
    <row r="23" spans="1:13" x14ac:dyDescent="0.2">
      <c r="A23" s="1">
        <v>2015</v>
      </c>
      <c r="B23" s="1">
        <v>28</v>
      </c>
      <c r="D23" s="1">
        <v>2015</v>
      </c>
      <c r="E23" s="1">
        <v>38</v>
      </c>
      <c r="G23" s="1">
        <v>2015</v>
      </c>
      <c r="H23" s="1">
        <v>28</v>
      </c>
      <c r="J23" s="1">
        <v>2015</v>
      </c>
      <c r="K23" s="1">
        <f>SUMIF(inspec[year],all[[#This Row],[year]],inspec['#results])</f>
        <v>28</v>
      </c>
      <c r="L23" s="1">
        <f>SUMIF(scopus[year],all[[#This Row],[year]],scopus['#results])</f>
        <v>38</v>
      </c>
      <c r="M23" s="1">
        <f>SUMIF(wos[year],all[[#This Row],[year]],wos['#results])</f>
        <v>28</v>
      </c>
    </row>
    <row r="24" spans="1:13" x14ac:dyDescent="0.2">
      <c r="A24" s="1">
        <v>2014</v>
      </c>
      <c r="B24" s="1">
        <v>15</v>
      </c>
      <c r="D24" s="1">
        <v>2014</v>
      </c>
      <c r="E24" s="1">
        <v>22</v>
      </c>
      <c r="G24" s="1">
        <v>2014</v>
      </c>
      <c r="H24" s="1">
        <v>17</v>
      </c>
      <c r="J24" s="1">
        <v>2014</v>
      </c>
      <c r="K24" s="1">
        <f>SUMIF(inspec[year],all[[#This Row],[year]],inspec['#results])</f>
        <v>15</v>
      </c>
      <c r="L24" s="1">
        <f>SUMIF(scopus[year],all[[#This Row],[year]],scopus['#results])</f>
        <v>22</v>
      </c>
      <c r="M24" s="1">
        <f>SUMIF(wos[year],all[[#This Row],[year]],wos['#results])</f>
        <v>17</v>
      </c>
    </row>
    <row r="25" spans="1:13" x14ac:dyDescent="0.2">
      <c r="A25" s="1">
        <v>2013</v>
      </c>
      <c r="B25" s="1">
        <v>28</v>
      </c>
      <c r="D25" s="1">
        <v>2013</v>
      </c>
      <c r="E25" s="1">
        <v>32</v>
      </c>
      <c r="G25" s="1">
        <v>2013</v>
      </c>
      <c r="H25" s="1">
        <v>19</v>
      </c>
      <c r="J25" s="1">
        <v>2013</v>
      </c>
      <c r="K25" s="1">
        <f>SUMIF(inspec[year],all[[#This Row],[year]],inspec['#results])</f>
        <v>28</v>
      </c>
      <c r="L25" s="1">
        <f>SUMIF(scopus[year],all[[#This Row],[year]],scopus['#results])</f>
        <v>32</v>
      </c>
      <c r="M25" s="1">
        <f>SUMIF(wos[year],all[[#This Row],[year]],wos['#results])</f>
        <v>19</v>
      </c>
    </row>
    <row r="26" spans="1:13" x14ac:dyDescent="0.2">
      <c r="A26" s="1">
        <v>2012</v>
      </c>
      <c r="B26" s="1">
        <v>8</v>
      </c>
      <c r="D26" s="1">
        <v>2012</v>
      </c>
      <c r="E26" s="1">
        <v>12</v>
      </c>
      <c r="G26" s="1">
        <v>2012</v>
      </c>
      <c r="H26" s="1">
        <v>10</v>
      </c>
      <c r="J26" s="1">
        <v>2012</v>
      </c>
      <c r="K26" s="1">
        <f>SUMIF(inspec[year],all[[#This Row],[year]],inspec['#results])</f>
        <v>8</v>
      </c>
      <c r="L26" s="1">
        <f>SUMIF(scopus[year],all[[#This Row],[year]],scopus['#results])</f>
        <v>12</v>
      </c>
      <c r="M26" s="1">
        <f>SUMIF(wos[year],all[[#This Row],[year]],wos['#results])</f>
        <v>10</v>
      </c>
    </row>
    <row r="27" spans="1:13" x14ac:dyDescent="0.2">
      <c r="A27" s="1">
        <v>2011</v>
      </c>
      <c r="B27" s="1">
        <v>17</v>
      </c>
      <c r="D27" s="1">
        <v>2011</v>
      </c>
      <c r="E27" s="1">
        <v>16</v>
      </c>
      <c r="G27" s="1">
        <v>2011</v>
      </c>
      <c r="H27" s="1">
        <v>9</v>
      </c>
      <c r="J27" s="1">
        <v>2011</v>
      </c>
      <c r="K27" s="1">
        <f>SUMIF(inspec[year],all[[#This Row],[year]],inspec['#results])</f>
        <v>17</v>
      </c>
      <c r="L27" s="1">
        <f>SUMIF(scopus[year],all[[#This Row],[year]],scopus['#results])</f>
        <v>16</v>
      </c>
      <c r="M27" s="1">
        <f>SUMIF(wos[year],all[[#This Row],[year]],wos['#results])</f>
        <v>9</v>
      </c>
    </row>
    <row r="28" spans="1:13" x14ac:dyDescent="0.2">
      <c r="A28" s="1">
        <v>2010</v>
      </c>
      <c r="B28" s="1">
        <v>10</v>
      </c>
      <c r="D28" s="1">
        <v>2010</v>
      </c>
      <c r="E28" s="1">
        <v>13</v>
      </c>
      <c r="G28" s="1">
        <v>2010</v>
      </c>
      <c r="H28" s="1">
        <v>7</v>
      </c>
      <c r="J28" s="1">
        <v>2010</v>
      </c>
      <c r="K28" s="1">
        <f>SUMIF(inspec[year],all[[#This Row],[year]],inspec['#results])</f>
        <v>10</v>
      </c>
      <c r="L28" s="1">
        <f>SUMIF(scopus[year],all[[#This Row],[year]],scopus['#results])</f>
        <v>13</v>
      </c>
      <c r="M28" s="1">
        <f>SUMIF(wos[year],all[[#This Row],[year]],wos['#results])</f>
        <v>7</v>
      </c>
    </row>
    <row r="29" spans="1:13" x14ac:dyDescent="0.2">
      <c r="A29" s="1">
        <v>2009</v>
      </c>
      <c r="B29" s="1">
        <v>10</v>
      </c>
      <c r="D29" s="1">
        <v>2009</v>
      </c>
      <c r="E29" s="1">
        <v>12</v>
      </c>
      <c r="G29" s="1">
        <v>2009</v>
      </c>
      <c r="H29" s="1">
        <v>13</v>
      </c>
      <c r="J29" s="1">
        <v>2009</v>
      </c>
      <c r="K29" s="1">
        <f>SUMIF(inspec[year],all[[#This Row],[year]],inspec['#results])</f>
        <v>10</v>
      </c>
      <c r="L29" s="1">
        <f>SUMIF(scopus[year],all[[#This Row],[year]],scopus['#results])</f>
        <v>12</v>
      </c>
      <c r="M29" s="1">
        <f>SUMIF(wos[year],all[[#This Row],[year]],wos['#results])</f>
        <v>13</v>
      </c>
    </row>
    <row r="30" spans="1:13" x14ac:dyDescent="0.2">
      <c r="A30" s="1">
        <v>2008</v>
      </c>
      <c r="B30" s="1">
        <v>6</v>
      </c>
      <c r="D30" s="1">
        <v>2008</v>
      </c>
      <c r="E30" s="1">
        <v>7</v>
      </c>
      <c r="G30" s="1">
        <v>2008</v>
      </c>
      <c r="H30" s="1">
        <v>6</v>
      </c>
      <c r="J30" s="1">
        <v>2008</v>
      </c>
      <c r="K30" s="1">
        <f>SUMIF(inspec[year],all[[#This Row],[year]],inspec['#results])</f>
        <v>6</v>
      </c>
      <c r="L30" s="1">
        <f>SUMIF(scopus[year],all[[#This Row],[year]],scopus['#results])</f>
        <v>7</v>
      </c>
      <c r="M30" s="1">
        <f>SUMIF(wos[year],all[[#This Row],[year]],wos['#results])</f>
        <v>6</v>
      </c>
    </row>
    <row r="31" spans="1:13" x14ac:dyDescent="0.2">
      <c r="A31" s="1">
        <v>2007</v>
      </c>
      <c r="B31" s="1">
        <v>3</v>
      </c>
      <c r="D31" s="1">
        <v>2007</v>
      </c>
      <c r="E31" s="1">
        <v>6</v>
      </c>
      <c r="G31" s="1">
        <v>2007</v>
      </c>
      <c r="H31" s="1">
        <v>5</v>
      </c>
      <c r="J31" s="1">
        <v>2007</v>
      </c>
      <c r="K31" s="1">
        <f>SUMIF(inspec[year],all[[#This Row],[year]],inspec['#results])</f>
        <v>3</v>
      </c>
      <c r="L31" s="1">
        <f>SUMIF(scopus[year],all[[#This Row],[year]],scopus['#results])</f>
        <v>6</v>
      </c>
      <c r="M31" s="1">
        <f>SUMIF(wos[year],all[[#This Row],[year]],wos['#results])</f>
        <v>5</v>
      </c>
    </row>
    <row r="32" spans="1:13" x14ac:dyDescent="0.2">
      <c r="A32" s="1">
        <v>2006</v>
      </c>
      <c r="B32" s="1">
        <v>2</v>
      </c>
      <c r="D32" s="1">
        <v>2006</v>
      </c>
      <c r="E32" s="1">
        <v>5</v>
      </c>
      <c r="G32" s="1">
        <v>2006</v>
      </c>
      <c r="H32" s="1">
        <v>2</v>
      </c>
      <c r="J32" s="1">
        <v>2006</v>
      </c>
      <c r="K32" s="1">
        <f>SUMIF(inspec[year],all[[#This Row],[year]],inspec['#results])</f>
        <v>2</v>
      </c>
      <c r="L32" s="1">
        <f>SUMIF(scopus[year],all[[#This Row],[year]],scopus['#results])</f>
        <v>5</v>
      </c>
      <c r="M32" s="1">
        <f>SUMIF(wos[year],all[[#This Row],[year]],wos['#results])</f>
        <v>2</v>
      </c>
    </row>
    <row r="33" spans="1:13" x14ac:dyDescent="0.2">
      <c r="A33" s="1">
        <v>2005</v>
      </c>
      <c r="B33" s="1">
        <v>3</v>
      </c>
      <c r="D33" s="1">
        <v>2005</v>
      </c>
      <c r="E33" s="1">
        <v>5</v>
      </c>
      <c r="G33" s="1">
        <v>2005</v>
      </c>
      <c r="H33" s="1">
        <v>2</v>
      </c>
      <c r="J33" s="1">
        <v>2005</v>
      </c>
      <c r="K33" s="1">
        <f>SUMIF(inspec[year],all[[#This Row],[year]],inspec['#results])</f>
        <v>3</v>
      </c>
      <c r="L33" s="1">
        <f>SUMIF(scopus[year],all[[#This Row],[year]],scopus['#results])</f>
        <v>5</v>
      </c>
      <c r="M33" s="1">
        <f>SUMIF(wos[year],all[[#This Row],[year]],wos['#results])</f>
        <v>2</v>
      </c>
    </row>
    <row r="34" spans="1:13" x14ac:dyDescent="0.2">
      <c r="A34" s="1">
        <v>2004</v>
      </c>
      <c r="B34" s="1">
        <v>4</v>
      </c>
      <c r="D34" s="1">
        <v>2004</v>
      </c>
      <c r="E34" s="1">
        <v>9</v>
      </c>
      <c r="G34" s="1">
        <v>2004</v>
      </c>
      <c r="H34" s="1">
        <v>6</v>
      </c>
      <c r="J34" s="1">
        <v>2004</v>
      </c>
      <c r="K34" s="1">
        <f>SUMIF(inspec[year],all[[#This Row],[year]],inspec['#results])</f>
        <v>4</v>
      </c>
      <c r="L34" s="1">
        <f>SUMIF(scopus[year],all[[#This Row],[year]],scopus['#results])</f>
        <v>9</v>
      </c>
      <c r="M34" s="1">
        <f>SUMIF(wos[year],all[[#This Row],[year]],wos['#results])</f>
        <v>6</v>
      </c>
    </row>
    <row r="35" spans="1:13" x14ac:dyDescent="0.2">
      <c r="A35" s="1">
        <v>2002</v>
      </c>
      <c r="B35" s="1">
        <v>2</v>
      </c>
      <c r="D35" s="1">
        <v>2002</v>
      </c>
      <c r="E35" s="1">
        <v>2</v>
      </c>
      <c r="G35" s="1">
        <v>2003</v>
      </c>
      <c r="H35" s="1">
        <v>0</v>
      </c>
      <c r="J35" s="1">
        <v>2003</v>
      </c>
      <c r="K35" s="1">
        <f>SUMIF(inspec[year],all[[#This Row],[year]],inspec['#results])</f>
        <v>0</v>
      </c>
      <c r="L35" s="1">
        <f>SUMIF(scopus[year],all[[#This Row],[year]],scopus['#results])</f>
        <v>0</v>
      </c>
      <c r="M35" s="1">
        <f>SUMIF(wos[year],all[[#This Row],[year]],wos['#results])</f>
        <v>0</v>
      </c>
    </row>
    <row r="36" spans="1:13" x14ac:dyDescent="0.2">
      <c r="A36" s="1">
        <v>2001</v>
      </c>
      <c r="B36" s="1">
        <v>2</v>
      </c>
      <c r="D36" s="1">
        <v>2001</v>
      </c>
      <c r="E36" s="1">
        <v>2</v>
      </c>
      <c r="G36" s="1">
        <v>2002</v>
      </c>
      <c r="H36" s="1">
        <v>2</v>
      </c>
      <c r="J36" s="1">
        <v>2002</v>
      </c>
      <c r="K36" s="1">
        <f>SUMIF(inspec[year],all[[#This Row],[year]],inspec['#results])</f>
        <v>2</v>
      </c>
      <c r="L36" s="1">
        <f>SUMIF(scopus[year],all[[#This Row],[year]],scopus['#results])</f>
        <v>2</v>
      </c>
      <c r="M36" s="1">
        <f>SUMIF(wos[year],all[[#This Row],[year]],wos['#results])</f>
        <v>2</v>
      </c>
    </row>
    <row r="37" spans="1:13" x14ac:dyDescent="0.2">
      <c r="A37" s="1">
        <v>2000</v>
      </c>
      <c r="B37" s="1">
        <v>1</v>
      </c>
      <c r="D37" s="1">
        <v>2000</v>
      </c>
      <c r="E37" s="1">
        <v>2</v>
      </c>
      <c r="G37" s="1">
        <v>2001</v>
      </c>
      <c r="H37" s="1">
        <v>1</v>
      </c>
      <c r="J37" s="1">
        <v>2001</v>
      </c>
      <c r="K37" s="1">
        <f>SUMIF(inspec[year],all[[#This Row],[year]],inspec['#results])</f>
        <v>2</v>
      </c>
      <c r="L37" s="1">
        <f>SUMIF(scopus[year],all[[#This Row],[year]],scopus['#results])</f>
        <v>2</v>
      </c>
      <c r="M37" s="1">
        <f>SUMIF(wos[year],all[[#This Row],[year]],wos['#results])</f>
        <v>1</v>
      </c>
    </row>
    <row r="38" spans="1:13" x14ac:dyDescent="0.2">
      <c r="A38" s="1">
        <v>1998</v>
      </c>
      <c r="B38" s="1">
        <v>1</v>
      </c>
      <c r="D38" s="1">
        <v>1998</v>
      </c>
      <c r="E38" s="1">
        <v>3</v>
      </c>
      <c r="G38" s="1">
        <v>2000</v>
      </c>
      <c r="H38" s="1">
        <v>1</v>
      </c>
      <c r="J38" s="1">
        <v>2000</v>
      </c>
      <c r="K38" s="1">
        <f>SUMIF(inspec[year],all[[#This Row],[year]],inspec['#results])</f>
        <v>1</v>
      </c>
      <c r="L38" s="1">
        <f>SUMIF(scopus[year],all[[#This Row],[year]],scopus['#results])</f>
        <v>2</v>
      </c>
      <c r="M38" s="1">
        <f>SUMIF(wos[year],all[[#This Row],[year]],wos['#results])</f>
        <v>1</v>
      </c>
    </row>
    <row r="39" spans="1:13" x14ac:dyDescent="0.2">
      <c r="A39" s="1">
        <v>1997</v>
      </c>
      <c r="B39" s="1">
        <v>1</v>
      </c>
      <c r="D39" s="1">
        <v>1997</v>
      </c>
      <c r="E39" s="1">
        <v>2</v>
      </c>
      <c r="G39" s="1">
        <v>1999</v>
      </c>
      <c r="H39" s="1">
        <v>0</v>
      </c>
      <c r="J39" s="1">
        <v>1999</v>
      </c>
      <c r="K39" s="1">
        <f>SUMIF(inspec[year],all[[#This Row],[year]],inspec['#results])</f>
        <v>0</v>
      </c>
      <c r="L39" s="1">
        <f>SUMIF(scopus[year],all[[#This Row],[year]],scopus['#results])</f>
        <v>0</v>
      </c>
      <c r="M39" s="1">
        <f>SUMIF(wos[year],all[[#This Row],[year]],wos['#results])</f>
        <v>0</v>
      </c>
    </row>
    <row r="40" spans="1:13" x14ac:dyDescent="0.2">
      <c r="A40" s="1">
        <v>1991</v>
      </c>
      <c r="B40" s="1">
        <v>1</v>
      </c>
      <c r="D40" s="1">
        <v>1989</v>
      </c>
      <c r="E40" s="1">
        <v>1</v>
      </c>
      <c r="G40" s="1">
        <v>1998</v>
      </c>
      <c r="H40" s="1">
        <v>3</v>
      </c>
      <c r="J40" s="1">
        <v>1998</v>
      </c>
      <c r="K40" s="1">
        <f>SUMIF(inspec[year],all[[#This Row],[year]],inspec['#results])</f>
        <v>1</v>
      </c>
      <c r="L40" s="1">
        <f>SUMIF(scopus[year],all[[#This Row],[year]],scopus['#results])</f>
        <v>3</v>
      </c>
      <c r="M40" s="1">
        <f>SUMIF(wos[year],all[[#This Row],[year]],wos['#results])</f>
        <v>3</v>
      </c>
    </row>
    <row r="41" spans="1:13" x14ac:dyDescent="0.2">
      <c r="A41" s="1">
        <v>1989</v>
      </c>
      <c r="B41" s="1">
        <v>1</v>
      </c>
      <c r="D41" s="1">
        <v>1974</v>
      </c>
      <c r="E41" s="1">
        <v>1</v>
      </c>
      <c r="G41" s="1">
        <v>1997</v>
      </c>
      <c r="H41" s="1">
        <v>2</v>
      </c>
      <c r="J41" s="1">
        <v>1997</v>
      </c>
      <c r="K41" s="1">
        <f>SUMIF(inspec[year],all[[#This Row],[year]],inspec['#results])</f>
        <v>1</v>
      </c>
      <c r="L41" s="1">
        <f>SUMIF(scopus[year],all[[#This Row],[year]],scopus['#results])</f>
        <v>2</v>
      </c>
      <c r="M41" s="1">
        <f>SUMIF(wos[year],all[[#This Row],[year]],wos['#results])</f>
        <v>2</v>
      </c>
    </row>
    <row r="42" spans="1:13" x14ac:dyDescent="0.2">
      <c r="A42" s="1">
        <v>1988</v>
      </c>
      <c r="B42" s="1">
        <v>1</v>
      </c>
      <c r="J42" s="1">
        <v>1996</v>
      </c>
      <c r="K42" s="1">
        <f>SUMIF(inspec[year],all[[#This Row],[year]],inspec['#results])</f>
        <v>0</v>
      </c>
      <c r="L42" s="1">
        <f>SUMIF(scopus[year],all[[#This Row],[year]],scopus['#results])</f>
        <v>0</v>
      </c>
      <c r="M42" s="1">
        <f>SUMIF(wos[year],all[[#This Row],[year]],wos['#results])</f>
        <v>0</v>
      </c>
    </row>
    <row r="43" spans="1:13" x14ac:dyDescent="0.2">
      <c r="J43" s="1">
        <v>1995</v>
      </c>
      <c r="K43" s="1">
        <f>SUMIF(inspec[year],all[[#This Row],[year]],inspec['#results])</f>
        <v>0</v>
      </c>
      <c r="L43" s="1">
        <f>SUMIF(scopus[year],all[[#This Row],[year]],scopus['#results])</f>
        <v>0</v>
      </c>
      <c r="M43" s="1">
        <f>SUMIF(wos[year],all[[#This Row],[year]],wos['#results])</f>
        <v>0</v>
      </c>
    </row>
    <row r="44" spans="1:13" x14ac:dyDescent="0.2">
      <c r="J44" s="1">
        <v>1994</v>
      </c>
      <c r="K44" s="1">
        <f>SUMIF(inspec[year],all[[#This Row],[year]],inspec['#results])</f>
        <v>0</v>
      </c>
      <c r="L44" s="1">
        <f>SUMIF(scopus[year],all[[#This Row],[year]],scopus['#results])</f>
        <v>0</v>
      </c>
      <c r="M44" s="1">
        <f>SUMIF(wos[year],all[[#This Row],[year]],wos['#results])</f>
        <v>0</v>
      </c>
    </row>
    <row r="45" spans="1:13" x14ac:dyDescent="0.2">
      <c r="J45" s="1">
        <v>1993</v>
      </c>
      <c r="K45" s="1">
        <f>SUMIF(inspec[year],all[[#This Row],[year]],inspec['#results])</f>
        <v>0</v>
      </c>
      <c r="L45" s="1">
        <f>SUMIF(scopus[year],all[[#This Row],[year]],scopus['#results])</f>
        <v>0</v>
      </c>
      <c r="M45" s="1">
        <f>SUMIF(wos[year],all[[#This Row],[year]],wos['#results])</f>
        <v>0</v>
      </c>
    </row>
    <row r="46" spans="1:13" x14ac:dyDescent="0.2">
      <c r="J46" s="1">
        <v>1992</v>
      </c>
      <c r="K46" s="1">
        <f>SUMIF(inspec[year],all[[#This Row],[year]],inspec['#results])</f>
        <v>0</v>
      </c>
      <c r="L46" s="1">
        <f>SUMIF(scopus[year],all[[#This Row],[year]],scopus['#results])</f>
        <v>0</v>
      </c>
      <c r="M46" s="1">
        <f>SUMIF(wos[year],all[[#This Row],[year]],wos['#results])</f>
        <v>0</v>
      </c>
    </row>
    <row r="47" spans="1:13" x14ac:dyDescent="0.2">
      <c r="J47" s="1">
        <v>1991</v>
      </c>
      <c r="K47" s="1">
        <f>SUMIF(inspec[year],all[[#This Row],[year]],inspec['#results])</f>
        <v>1</v>
      </c>
      <c r="L47" s="1">
        <f>SUMIF(scopus[year],all[[#This Row],[year]],scopus['#results])</f>
        <v>0</v>
      </c>
      <c r="M47" s="1">
        <f>SUMIF(wos[year],all[[#This Row],[year]],wos['#results])</f>
        <v>0</v>
      </c>
    </row>
    <row r="48" spans="1:13" x14ac:dyDescent="0.2">
      <c r="J48" s="1">
        <v>1990</v>
      </c>
      <c r="K48" s="1">
        <f>SUMIF(inspec[year],all[[#This Row],[year]],inspec['#results])</f>
        <v>0</v>
      </c>
      <c r="L48" s="1">
        <f>SUMIF(scopus[year],all[[#This Row],[year]],scopus['#results])</f>
        <v>0</v>
      </c>
      <c r="M48" s="1">
        <f>SUMIF(wos[year],all[[#This Row],[year]],wos['#results])</f>
        <v>0</v>
      </c>
    </row>
    <row r="49" spans="10:13" x14ac:dyDescent="0.2">
      <c r="J49" s="1">
        <v>1989</v>
      </c>
      <c r="K49" s="1">
        <f>SUMIF(inspec[year],all[[#This Row],[year]],inspec['#results])</f>
        <v>1</v>
      </c>
      <c r="L49" s="1">
        <f>SUMIF(scopus[year],all[[#This Row],[year]],scopus['#results])</f>
        <v>1</v>
      </c>
      <c r="M49" s="1">
        <f>SUMIF(wos[year],all[[#This Row],[year]],wos['#results])</f>
        <v>0</v>
      </c>
    </row>
    <row r="50" spans="10:13" x14ac:dyDescent="0.2">
      <c r="J50" s="1">
        <v>1988</v>
      </c>
      <c r="K50" s="1">
        <f>SUMIF(inspec[year],all[[#This Row],[year]],inspec['#results])</f>
        <v>1</v>
      </c>
      <c r="L50" s="1">
        <f>SUMIF(scopus[year],all[[#This Row],[year]],scopus['#results])</f>
        <v>0</v>
      </c>
      <c r="M50" s="1">
        <f>SUMIF(wos[year],all[[#This Row],[year]],wos['#results])</f>
        <v>0</v>
      </c>
    </row>
    <row r="51" spans="10:13" x14ac:dyDescent="0.2">
      <c r="J51" s="1">
        <v>1987</v>
      </c>
      <c r="K51" s="1">
        <f>SUMIF(inspec[year],all[[#This Row],[year]],inspec['#results])</f>
        <v>0</v>
      </c>
      <c r="L51" s="1">
        <f>SUMIF(scopus[year],all[[#This Row],[year]],scopus['#results])</f>
        <v>0</v>
      </c>
      <c r="M51" s="1">
        <f>SUMIF(wos[year],all[[#This Row],[year]],wos['#results])</f>
        <v>0</v>
      </c>
    </row>
    <row r="52" spans="10:13" x14ac:dyDescent="0.2">
      <c r="J52" s="1">
        <v>1986</v>
      </c>
      <c r="K52" s="1">
        <f>SUMIF(inspec[year],all[[#This Row],[year]],inspec['#results])</f>
        <v>0</v>
      </c>
      <c r="L52" s="1">
        <f>SUMIF(scopus[year],all[[#This Row],[year]],scopus['#results])</f>
        <v>0</v>
      </c>
      <c r="M52" s="1">
        <f>SUMIF(wos[year],all[[#This Row],[year]],wos['#results])</f>
        <v>0</v>
      </c>
    </row>
    <row r="53" spans="10:13" x14ac:dyDescent="0.2">
      <c r="J53" s="1">
        <v>1985</v>
      </c>
      <c r="K53" s="1">
        <f>SUMIF(inspec[year],all[[#This Row],[year]],inspec['#results])</f>
        <v>0</v>
      </c>
      <c r="L53" s="1">
        <f>SUMIF(scopus[year],all[[#This Row],[year]],scopus['#results])</f>
        <v>0</v>
      </c>
      <c r="M53" s="1">
        <f>SUMIF(wos[year],all[[#This Row],[year]],wos['#results])</f>
        <v>0</v>
      </c>
    </row>
    <row r="54" spans="10:13" x14ac:dyDescent="0.2">
      <c r="J54" s="1">
        <v>1984</v>
      </c>
      <c r="K54" s="1">
        <f>SUMIF(inspec[year],all[[#This Row],[year]],inspec['#results])</f>
        <v>0</v>
      </c>
      <c r="L54" s="1">
        <f>SUMIF(scopus[year],all[[#This Row],[year]],scopus['#results])</f>
        <v>0</v>
      </c>
      <c r="M54" s="1">
        <f>SUMIF(wos[year],all[[#This Row],[year]],wos['#results])</f>
        <v>0</v>
      </c>
    </row>
    <row r="55" spans="10:13" x14ac:dyDescent="0.2">
      <c r="J55" s="1">
        <v>1983</v>
      </c>
      <c r="K55" s="1">
        <f>SUMIF(inspec[year],all[[#This Row],[year]],inspec['#results])</f>
        <v>0</v>
      </c>
      <c r="L55" s="1">
        <f>SUMIF(scopus[year],all[[#This Row],[year]],scopus['#results])</f>
        <v>0</v>
      </c>
      <c r="M55" s="1">
        <f>SUMIF(wos[year],all[[#This Row],[year]],wos['#results])</f>
        <v>0</v>
      </c>
    </row>
    <row r="56" spans="10:13" x14ac:dyDescent="0.2">
      <c r="J56" s="1">
        <v>1982</v>
      </c>
      <c r="K56" s="1">
        <f>SUMIF(inspec[year],all[[#This Row],[year]],inspec['#results])</f>
        <v>0</v>
      </c>
      <c r="L56" s="1">
        <f>SUMIF(scopus[year],all[[#This Row],[year]],scopus['#results])</f>
        <v>0</v>
      </c>
      <c r="M56" s="1">
        <f>SUMIF(wos[year],all[[#This Row],[year]],wos['#results])</f>
        <v>0</v>
      </c>
    </row>
    <row r="57" spans="10:13" x14ac:dyDescent="0.2">
      <c r="J57" s="1">
        <v>1981</v>
      </c>
      <c r="K57" s="1">
        <f>SUMIF(inspec[year],all[[#This Row],[year]],inspec['#results])</f>
        <v>0</v>
      </c>
      <c r="L57" s="1">
        <f>SUMIF(scopus[year],all[[#This Row],[year]],scopus['#results])</f>
        <v>0</v>
      </c>
      <c r="M57" s="1">
        <f>SUMIF(wos[year],all[[#This Row],[year]],wos['#results])</f>
        <v>0</v>
      </c>
    </row>
    <row r="58" spans="10:13" x14ac:dyDescent="0.2">
      <c r="J58" s="1">
        <v>1980</v>
      </c>
      <c r="K58" s="1">
        <f>SUMIF(inspec[year],all[[#This Row],[year]],inspec['#results])</f>
        <v>0</v>
      </c>
      <c r="L58" s="1">
        <f>SUMIF(scopus[year],all[[#This Row],[year]],scopus['#results])</f>
        <v>0</v>
      </c>
      <c r="M58" s="1">
        <f>SUMIF(wos[year],all[[#This Row],[year]],wos['#results])</f>
        <v>0</v>
      </c>
    </row>
    <row r="59" spans="10:13" x14ac:dyDescent="0.2">
      <c r="J59" s="1">
        <v>1979</v>
      </c>
      <c r="K59" s="1">
        <f>SUMIF(inspec[year],all[[#This Row],[year]],inspec['#results])</f>
        <v>0</v>
      </c>
      <c r="L59" s="1">
        <f>SUMIF(scopus[year],all[[#This Row],[year]],scopus['#results])</f>
        <v>0</v>
      </c>
      <c r="M59" s="1">
        <f>SUMIF(wos[year],all[[#This Row],[year]],wos['#results])</f>
        <v>0</v>
      </c>
    </row>
    <row r="60" spans="10:13" x14ac:dyDescent="0.2">
      <c r="J60" s="1">
        <v>1978</v>
      </c>
      <c r="K60" s="1">
        <f>SUMIF(inspec[year],all[[#This Row],[year]],inspec['#results])</f>
        <v>0</v>
      </c>
      <c r="L60" s="1">
        <f>SUMIF(scopus[year],all[[#This Row],[year]],scopus['#results])</f>
        <v>0</v>
      </c>
      <c r="M60" s="1">
        <f>SUMIF(wos[year],all[[#This Row],[year]],wos['#results])</f>
        <v>0</v>
      </c>
    </row>
    <row r="61" spans="10:13" x14ac:dyDescent="0.2">
      <c r="J61" s="1">
        <v>1977</v>
      </c>
      <c r="K61" s="1">
        <f>SUMIF(inspec[year],all[[#This Row],[year]],inspec['#results])</f>
        <v>0</v>
      </c>
      <c r="L61" s="1">
        <f>SUMIF(scopus[year],all[[#This Row],[year]],scopus['#results])</f>
        <v>0</v>
      </c>
      <c r="M61" s="1">
        <f>SUMIF(wos[year],all[[#This Row],[year]],wos['#results])</f>
        <v>0</v>
      </c>
    </row>
    <row r="62" spans="10:13" x14ac:dyDescent="0.2">
      <c r="J62" s="1">
        <v>1976</v>
      </c>
      <c r="K62" s="1">
        <f>SUMIF(inspec[year],all[[#This Row],[year]],inspec['#results])</f>
        <v>0</v>
      </c>
      <c r="L62" s="1">
        <f>SUMIF(scopus[year],all[[#This Row],[year]],scopus['#results])</f>
        <v>0</v>
      </c>
      <c r="M62" s="1">
        <f>SUMIF(wos[year],all[[#This Row],[year]],wos['#results])</f>
        <v>0</v>
      </c>
    </row>
    <row r="63" spans="10:13" x14ac:dyDescent="0.2">
      <c r="J63" s="1">
        <v>1975</v>
      </c>
      <c r="K63" s="1">
        <f>SUMIF(inspec[year],all[[#This Row],[year]],inspec['#results])</f>
        <v>0</v>
      </c>
      <c r="L63" s="1">
        <f>SUMIF(scopus[year],all[[#This Row],[year]],scopus['#results])</f>
        <v>0</v>
      </c>
      <c r="M63" s="1">
        <f>SUMIF(wos[year],all[[#This Row],[year]],wos['#results])</f>
        <v>0</v>
      </c>
    </row>
    <row r="64" spans="10:13" x14ac:dyDescent="0.2">
      <c r="J64" s="1">
        <v>1974</v>
      </c>
      <c r="K64" s="1">
        <f>SUMIF(inspec[year],all[[#This Row],[year]],inspec['#results])</f>
        <v>0</v>
      </c>
      <c r="L64" s="1">
        <f>SUMIF(scopus[year],all[[#This Row],[year]],scopus['#results])</f>
        <v>1</v>
      </c>
      <c r="M64" s="1">
        <f>SUMIF(wos[year],all[[#This Row],[year]],wos['#results])</f>
        <v>0</v>
      </c>
    </row>
    <row r="65" spans="10:13" x14ac:dyDescent="0.2">
      <c r="J65" s="1">
        <v>1973</v>
      </c>
      <c r="K65" s="4">
        <f>SUMIF(inspec[year],all[[#This Row],[year]],inspec['#results])</f>
        <v>0</v>
      </c>
      <c r="L65" s="4">
        <f>SUMIF(scopus[year],all[[#This Row],[year]],scopus['#results])</f>
        <v>0</v>
      </c>
      <c r="M65" s="4">
        <f>SUMIF(wos[year],all[[#This Row],[year]],wos['#results])</f>
        <v>0</v>
      </c>
    </row>
    <row r="66" spans="10:13" x14ac:dyDescent="0.2">
      <c r="J66" s="1">
        <v>1972</v>
      </c>
      <c r="K66" s="4">
        <f>SUMIF(inspec[year],all[[#This Row],[year]],inspec['#results])</f>
        <v>0</v>
      </c>
      <c r="L66" s="4">
        <f>SUMIF(scopus[year],all[[#This Row],[year]],scopus['#results])</f>
        <v>0</v>
      </c>
      <c r="M66" s="4">
        <f>SUMIF(wos[year],all[[#This Row],[year]],wos['#results])</f>
        <v>0</v>
      </c>
    </row>
    <row r="67" spans="10:13" x14ac:dyDescent="0.2">
      <c r="J67" s="5" t="s">
        <v>15</v>
      </c>
      <c r="K67" s="1">
        <f>SUM(all[[#All],[inspec]])</f>
        <v>454</v>
      </c>
      <c r="L67" s="1">
        <f>SUM(all[[#All],[scopus]])</f>
        <v>558</v>
      </c>
      <c r="M67" s="1">
        <f>SUM(all[[#All],[wos]])</f>
        <v>412</v>
      </c>
    </row>
  </sheetData>
  <pageMargins left="0.7" right="0.7" top="0.75" bottom="0.75" header="0.3" footer="0.3"/>
  <pageSetup paperSize="9" orientation="portrait" horizontalDpi="0" verticalDpi="0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2DCBE-C792-4CBE-8B21-1721D79E728C}">
  <dimension ref="A1:M67"/>
  <sheetViews>
    <sheetView zoomScale="115" zoomScaleNormal="115" workbookViewId="0"/>
  </sheetViews>
  <sheetFormatPr defaultRowHeight="12.75" x14ac:dyDescent="0.2"/>
  <cols>
    <col min="1" max="1" width="9.140625" style="1"/>
    <col min="2" max="2" width="10" style="1" customWidth="1"/>
    <col min="3" max="3" width="1.7109375" style="1" customWidth="1"/>
    <col min="4" max="4" width="9.140625" style="1"/>
    <col min="5" max="5" width="10" style="1" customWidth="1"/>
    <col min="6" max="6" width="1.7109375" style="1" customWidth="1"/>
    <col min="7" max="7" width="9.140625" style="1"/>
    <col min="8" max="8" width="10" style="1" customWidth="1"/>
    <col min="9" max="9" width="4.7109375" style="1" customWidth="1"/>
    <col min="10" max="11" width="9.140625" style="1"/>
    <col min="12" max="12" width="9.28515625" style="1" customWidth="1"/>
    <col min="13" max="13" width="9.140625" style="1"/>
    <col min="14" max="14" width="4.7109375" style="1" customWidth="1"/>
    <col min="15" max="16384" width="9.140625" style="1"/>
  </cols>
  <sheetData>
    <row r="1" spans="1:13" x14ac:dyDescent="0.2">
      <c r="A1" s="1" t="s">
        <v>1</v>
      </c>
    </row>
    <row r="2" spans="1:13" x14ac:dyDescent="0.2">
      <c r="A2" s="2" t="s">
        <v>0</v>
      </c>
    </row>
    <row r="4" spans="1:13" x14ac:dyDescent="0.2">
      <c r="A4" s="1" t="s">
        <v>2</v>
      </c>
    </row>
    <row r="5" spans="1:13" x14ac:dyDescent="0.2">
      <c r="A5" s="2" t="s">
        <v>4</v>
      </c>
      <c r="B5" s="1" t="s">
        <v>16</v>
      </c>
    </row>
    <row r="6" spans="1:13" x14ac:dyDescent="0.2">
      <c r="A6" s="2" t="s">
        <v>3</v>
      </c>
      <c r="B6" s="1" t="s">
        <v>6</v>
      </c>
    </row>
    <row r="7" spans="1:13" x14ac:dyDescent="0.2">
      <c r="A7" s="2" t="s">
        <v>5</v>
      </c>
      <c r="B7" s="1" t="s">
        <v>17</v>
      </c>
    </row>
    <row r="8" spans="1:13" x14ac:dyDescent="0.2">
      <c r="A8" s="2"/>
    </row>
    <row r="9" spans="1:13" x14ac:dyDescent="0.2">
      <c r="A9" s="3" t="s">
        <v>10</v>
      </c>
    </row>
    <row r="10" spans="1:13" x14ac:dyDescent="0.2">
      <c r="A10" s="2" t="s">
        <v>11</v>
      </c>
    </row>
    <row r="12" spans="1:13" x14ac:dyDescent="0.2">
      <c r="A12" s="1" t="s">
        <v>7</v>
      </c>
      <c r="L12" s="1" t="s">
        <v>13</v>
      </c>
      <c r="M12" s="1" t="s">
        <v>14</v>
      </c>
    </row>
    <row r="13" spans="1:13" x14ac:dyDescent="0.2">
      <c r="A13" s="2" t="s">
        <v>4</v>
      </c>
      <c r="B13" s="1">
        <f>SUM(inspec_dyn['#results])</f>
        <v>128</v>
      </c>
      <c r="D13" s="2" t="s">
        <v>3</v>
      </c>
      <c r="E13" s="1">
        <f>SUM(scopus_dyn['#results])</f>
        <v>161</v>
      </c>
      <c r="G13" s="2" t="s">
        <v>5</v>
      </c>
      <c r="H13" s="1">
        <f>SUM(wos_dyn['#results])</f>
        <v>126</v>
      </c>
      <c r="J13" s="2" t="s">
        <v>12</v>
      </c>
      <c r="L13" s="1">
        <f>MIN(inspec_dyn[year],scopus_dyn[year],wos_dyn[year])</f>
        <v>1989</v>
      </c>
      <c r="M13" s="1">
        <f>MAX(inspec_dyn[year],scopus_dyn[year],wos_dyn[year])</f>
        <v>2022</v>
      </c>
    </row>
    <row r="14" spans="1:13" x14ac:dyDescent="0.2">
      <c r="A14" s="2"/>
      <c r="D14" s="2"/>
    </row>
    <row r="15" spans="1:13" x14ac:dyDescent="0.2">
      <c r="A15" s="1" t="s">
        <v>8</v>
      </c>
      <c r="B15" s="1" t="s">
        <v>9</v>
      </c>
      <c r="D15" s="1" t="s">
        <v>8</v>
      </c>
      <c r="E15" s="1" t="s">
        <v>9</v>
      </c>
      <c r="G15" s="1" t="s">
        <v>8</v>
      </c>
      <c r="H15" s="1" t="s">
        <v>9</v>
      </c>
      <c r="J15" s="1" t="s">
        <v>8</v>
      </c>
      <c r="K15" s="1" t="s">
        <v>4</v>
      </c>
      <c r="L15" s="1" t="s">
        <v>3</v>
      </c>
      <c r="M15" s="1" t="s">
        <v>5</v>
      </c>
    </row>
    <row r="16" spans="1:13" x14ac:dyDescent="0.2">
      <c r="A16" s="1">
        <v>2022</v>
      </c>
      <c r="B16" s="1">
        <v>5</v>
      </c>
      <c r="D16" s="1">
        <v>2022</v>
      </c>
      <c r="E16" s="1">
        <v>13</v>
      </c>
      <c r="G16" s="1">
        <v>2022</v>
      </c>
      <c r="H16" s="1">
        <v>9</v>
      </c>
      <c r="J16" s="1">
        <v>2022</v>
      </c>
      <c r="K16" s="1">
        <f>SUMIF(inspec_dyn[year],all_dyn[[#This Row],[year]],inspec_dyn['#results])</f>
        <v>5</v>
      </c>
      <c r="L16" s="1">
        <f>SUMIF(scopus_dyn[year],all_dyn[[#This Row],[year]],scopus_dyn['#results])</f>
        <v>13</v>
      </c>
      <c r="M16" s="1">
        <f>SUMIF(wos_dyn[year],all_dyn[[#This Row],[year]],wos_dyn['#results])</f>
        <v>9</v>
      </c>
    </row>
    <row r="17" spans="1:13" x14ac:dyDescent="0.2">
      <c r="A17" s="1">
        <v>2021</v>
      </c>
      <c r="B17" s="1">
        <v>21</v>
      </c>
      <c r="D17" s="1">
        <v>2021</v>
      </c>
      <c r="E17" s="1">
        <v>25</v>
      </c>
      <c r="G17" s="1">
        <v>2021</v>
      </c>
      <c r="H17" s="1">
        <v>17</v>
      </c>
      <c r="J17" s="1">
        <v>2021</v>
      </c>
      <c r="K17" s="1">
        <f>SUMIF(inspec_dyn[year],all_dyn[[#This Row],[year]],inspec_dyn['#results])</f>
        <v>21</v>
      </c>
      <c r="L17" s="1">
        <f>SUMIF(scopus_dyn[year],all_dyn[[#This Row],[year]],scopus_dyn['#results])</f>
        <v>25</v>
      </c>
      <c r="M17" s="1">
        <f>SUMIF(wos_dyn[year],all_dyn[[#This Row],[year]],wos_dyn['#results])</f>
        <v>17</v>
      </c>
    </row>
    <row r="18" spans="1:13" x14ac:dyDescent="0.2">
      <c r="A18" s="1">
        <v>2020</v>
      </c>
      <c r="B18" s="1">
        <v>16</v>
      </c>
      <c r="D18" s="1">
        <v>2020</v>
      </c>
      <c r="E18" s="1">
        <v>16</v>
      </c>
      <c r="G18" s="1">
        <v>2020</v>
      </c>
      <c r="H18" s="1">
        <v>14</v>
      </c>
      <c r="J18" s="1">
        <v>2020</v>
      </c>
      <c r="K18" s="1">
        <f>SUMIF(inspec_dyn[year],all_dyn[[#This Row],[year]],inspec_dyn['#results])</f>
        <v>16</v>
      </c>
      <c r="L18" s="1">
        <f>SUMIF(scopus_dyn[year],all_dyn[[#This Row],[year]],scopus_dyn['#results])</f>
        <v>16</v>
      </c>
      <c r="M18" s="1">
        <f>SUMIF(wos_dyn[year],all_dyn[[#This Row],[year]],wos_dyn['#results])</f>
        <v>14</v>
      </c>
    </row>
    <row r="19" spans="1:13" x14ac:dyDescent="0.2">
      <c r="A19" s="1">
        <v>2019</v>
      </c>
      <c r="B19" s="1">
        <v>11</v>
      </c>
      <c r="D19" s="1">
        <v>2019</v>
      </c>
      <c r="E19" s="1">
        <v>12</v>
      </c>
      <c r="G19" s="1">
        <v>2019</v>
      </c>
      <c r="H19" s="1">
        <v>9</v>
      </c>
      <c r="J19" s="1">
        <v>2019</v>
      </c>
      <c r="K19" s="1">
        <f>SUMIF(inspec_dyn[year],all_dyn[[#This Row],[year]],inspec_dyn['#results])</f>
        <v>11</v>
      </c>
      <c r="L19" s="1">
        <f>SUMIF(scopus_dyn[year],all_dyn[[#This Row],[year]],scopus_dyn['#results])</f>
        <v>12</v>
      </c>
      <c r="M19" s="1">
        <f>SUMIF(wos_dyn[year],all_dyn[[#This Row],[year]],wos_dyn['#results])</f>
        <v>9</v>
      </c>
    </row>
    <row r="20" spans="1:13" x14ac:dyDescent="0.2">
      <c r="A20" s="1">
        <v>2018</v>
      </c>
      <c r="B20" s="1">
        <v>15</v>
      </c>
      <c r="D20" s="1">
        <v>2018</v>
      </c>
      <c r="E20" s="1">
        <v>17</v>
      </c>
      <c r="G20" s="1">
        <v>2018</v>
      </c>
      <c r="H20" s="1">
        <v>17</v>
      </c>
      <c r="J20" s="1">
        <v>2018</v>
      </c>
      <c r="K20" s="1">
        <f>SUMIF(inspec_dyn[year],all_dyn[[#This Row],[year]],inspec_dyn['#results])</f>
        <v>15</v>
      </c>
      <c r="L20" s="1">
        <f>SUMIF(scopus_dyn[year],all_dyn[[#This Row],[year]],scopus_dyn['#results])</f>
        <v>17</v>
      </c>
      <c r="M20" s="1">
        <f>SUMIF(wos_dyn[year],all_dyn[[#This Row],[year]],wos_dyn['#results])</f>
        <v>17</v>
      </c>
    </row>
    <row r="21" spans="1:13" x14ac:dyDescent="0.2">
      <c r="A21" s="1">
        <v>2017</v>
      </c>
      <c r="B21" s="1">
        <v>5</v>
      </c>
      <c r="D21" s="1">
        <v>2017</v>
      </c>
      <c r="E21" s="1">
        <v>11</v>
      </c>
      <c r="G21" s="1">
        <v>2017</v>
      </c>
      <c r="H21" s="1">
        <v>6</v>
      </c>
      <c r="J21" s="1">
        <v>2017</v>
      </c>
      <c r="K21" s="1">
        <f>SUMIF(inspec_dyn[year],all_dyn[[#This Row],[year]],inspec_dyn['#results])</f>
        <v>5</v>
      </c>
      <c r="L21" s="1">
        <f>SUMIF(scopus_dyn[year],all_dyn[[#This Row],[year]],scopus_dyn['#results])</f>
        <v>11</v>
      </c>
      <c r="M21" s="1">
        <f>SUMIF(wos_dyn[year],all_dyn[[#This Row],[year]],wos_dyn['#results])</f>
        <v>6</v>
      </c>
    </row>
    <row r="22" spans="1:13" x14ac:dyDescent="0.2">
      <c r="A22" s="1">
        <v>2016</v>
      </c>
      <c r="B22" s="1">
        <v>10</v>
      </c>
      <c r="D22" s="1">
        <v>2016</v>
      </c>
      <c r="E22" s="1">
        <v>9</v>
      </c>
      <c r="G22" s="1">
        <v>2016</v>
      </c>
      <c r="H22" s="1">
        <v>11</v>
      </c>
      <c r="J22" s="1">
        <v>2016</v>
      </c>
      <c r="K22" s="1">
        <f>SUMIF(inspec_dyn[year],all_dyn[[#This Row],[year]],inspec_dyn['#results])</f>
        <v>10</v>
      </c>
      <c r="L22" s="1">
        <f>SUMIF(scopus_dyn[year],all_dyn[[#This Row],[year]],scopus_dyn['#results])</f>
        <v>9</v>
      </c>
      <c r="M22" s="1">
        <f>SUMIF(wos_dyn[year],all_dyn[[#This Row],[year]],wos_dyn['#results])</f>
        <v>11</v>
      </c>
    </row>
    <row r="23" spans="1:13" x14ac:dyDescent="0.2">
      <c r="A23" s="1">
        <v>2015</v>
      </c>
      <c r="B23" s="1">
        <v>7</v>
      </c>
      <c r="D23" s="1">
        <v>2015</v>
      </c>
      <c r="E23" s="1">
        <v>10</v>
      </c>
      <c r="G23" s="1">
        <v>2015</v>
      </c>
      <c r="H23" s="1">
        <v>8</v>
      </c>
      <c r="J23" s="1">
        <v>2015</v>
      </c>
      <c r="K23" s="1">
        <f>SUMIF(inspec_dyn[year],all_dyn[[#This Row],[year]],inspec_dyn['#results])</f>
        <v>7</v>
      </c>
      <c r="L23" s="1">
        <f>SUMIF(scopus_dyn[year],all_dyn[[#This Row],[year]],scopus_dyn['#results])</f>
        <v>10</v>
      </c>
      <c r="M23" s="1">
        <f>SUMIF(wos_dyn[year],all_dyn[[#This Row],[year]],wos_dyn['#results])</f>
        <v>8</v>
      </c>
    </row>
    <row r="24" spans="1:13" x14ac:dyDescent="0.2">
      <c r="A24" s="1">
        <v>2014</v>
      </c>
      <c r="B24" s="1">
        <v>7</v>
      </c>
      <c r="D24" s="1">
        <v>2014</v>
      </c>
      <c r="E24" s="1">
        <v>9</v>
      </c>
      <c r="G24" s="1">
        <v>2014</v>
      </c>
      <c r="H24" s="1">
        <v>7</v>
      </c>
      <c r="J24" s="1">
        <v>2014</v>
      </c>
      <c r="K24" s="1">
        <f>SUMIF(inspec_dyn[year],all_dyn[[#This Row],[year]],inspec_dyn['#results])</f>
        <v>7</v>
      </c>
      <c r="L24" s="1">
        <f>SUMIF(scopus_dyn[year],all_dyn[[#This Row],[year]],scopus_dyn['#results])</f>
        <v>9</v>
      </c>
      <c r="M24" s="1">
        <f>SUMIF(wos_dyn[year],all_dyn[[#This Row],[year]],wos_dyn['#results])</f>
        <v>7</v>
      </c>
    </row>
    <row r="25" spans="1:13" x14ac:dyDescent="0.2">
      <c r="A25" s="1">
        <v>2013</v>
      </c>
      <c r="B25" s="1">
        <v>7</v>
      </c>
      <c r="D25" s="1">
        <v>2013</v>
      </c>
      <c r="E25" s="1">
        <v>7</v>
      </c>
      <c r="G25" s="1">
        <v>2013</v>
      </c>
      <c r="H25" s="1">
        <v>4</v>
      </c>
      <c r="J25" s="1">
        <v>2013</v>
      </c>
      <c r="K25" s="1">
        <f>SUMIF(inspec_dyn[year],all_dyn[[#This Row],[year]],inspec_dyn['#results])</f>
        <v>7</v>
      </c>
      <c r="L25" s="1">
        <f>SUMIF(scopus_dyn[year],all_dyn[[#This Row],[year]],scopus_dyn['#results])</f>
        <v>7</v>
      </c>
      <c r="M25" s="1">
        <f>SUMIF(wos_dyn[year],all_dyn[[#This Row],[year]],wos_dyn['#results])</f>
        <v>4</v>
      </c>
    </row>
    <row r="26" spans="1:13" x14ac:dyDescent="0.2">
      <c r="A26" s="1">
        <v>2012</v>
      </c>
      <c r="B26" s="1">
        <v>3</v>
      </c>
      <c r="D26" s="1">
        <v>2012</v>
      </c>
      <c r="E26" s="1">
        <v>7</v>
      </c>
      <c r="G26" s="1">
        <v>2012</v>
      </c>
      <c r="H26" s="1">
        <v>5</v>
      </c>
      <c r="J26" s="1">
        <v>2012</v>
      </c>
      <c r="K26" s="1">
        <f>SUMIF(inspec_dyn[year],all_dyn[[#This Row],[year]],inspec_dyn['#results])</f>
        <v>3</v>
      </c>
      <c r="L26" s="1">
        <f>SUMIF(scopus_dyn[year],all_dyn[[#This Row],[year]],scopus_dyn['#results])</f>
        <v>7</v>
      </c>
      <c r="M26" s="1">
        <f>SUMIF(wos_dyn[year],all_dyn[[#This Row],[year]],wos_dyn['#results])</f>
        <v>5</v>
      </c>
    </row>
    <row r="27" spans="1:13" x14ac:dyDescent="0.2">
      <c r="A27" s="1">
        <v>2011</v>
      </c>
      <c r="B27" s="1">
        <v>5</v>
      </c>
      <c r="D27" s="1">
        <v>2011</v>
      </c>
      <c r="E27" s="1">
        <v>5</v>
      </c>
      <c r="G27" s="1">
        <v>2011</v>
      </c>
      <c r="H27" s="1">
        <v>3</v>
      </c>
      <c r="J27" s="1">
        <v>2011</v>
      </c>
      <c r="K27" s="1">
        <f>SUMIF(inspec_dyn[year],all_dyn[[#This Row],[year]],inspec_dyn['#results])</f>
        <v>5</v>
      </c>
      <c r="L27" s="1">
        <f>SUMIF(scopus_dyn[year],all_dyn[[#This Row],[year]],scopus_dyn['#results])</f>
        <v>5</v>
      </c>
      <c r="M27" s="1">
        <f>SUMIF(wos_dyn[year],all_dyn[[#This Row],[year]],wos_dyn['#results])</f>
        <v>3</v>
      </c>
    </row>
    <row r="28" spans="1:13" x14ac:dyDescent="0.2">
      <c r="A28" s="1">
        <v>2010</v>
      </c>
      <c r="B28" s="1">
        <v>4</v>
      </c>
      <c r="D28" s="1">
        <v>2010</v>
      </c>
      <c r="E28" s="1">
        <v>4</v>
      </c>
      <c r="G28" s="1">
        <v>2010</v>
      </c>
      <c r="H28" s="1">
        <v>2</v>
      </c>
      <c r="J28" s="1">
        <v>2010</v>
      </c>
      <c r="K28" s="1">
        <f>SUMIF(inspec_dyn[year],all_dyn[[#This Row],[year]],inspec_dyn['#results])</f>
        <v>4</v>
      </c>
      <c r="L28" s="1">
        <f>SUMIF(scopus_dyn[year],all_dyn[[#This Row],[year]],scopus_dyn['#results])</f>
        <v>4</v>
      </c>
      <c r="M28" s="1">
        <f>SUMIF(wos_dyn[year],all_dyn[[#This Row],[year]],wos_dyn['#results])</f>
        <v>2</v>
      </c>
    </row>
    <row r="29" spans="1:13" x14ac:dyDescent="0.2">
      <c r="A29" s="1">
        <v>2009</v>
      </c>
      <c r="B29" s="1">
        <v>4</v>
      </c>
      <c r="D29" s="1">
        <v>2009</v>
      </c>
      <c r="E29" s="1">
        <v>5</v>
      </c>
      <c r="G29" s="1">
        <v>2009</v>
      </c>
      <c r="H29" s="1">
        <v>5</v>
      </c>
      <c r="J29" s="1">
        <v>2009</v>
      </c>
      <c r="K29" s="1">
        <f>SUMIF(inspec_dyn[year],all_dyn[[#This Row],[year]],inspec_dyn['#results])</f>
        <v>4</v>
      </c>
      <c r="L29" s="1">
        <f>SUMIF(scopus_dyn[year],all_dyn[[#This Row],[year]],scopus_dyn['#results])</f>
        <v>5</v>
      </c>
      <c r="M29" s="1">
        <f>SUMIF(wos_dyn[year],all_dyn[[#This Row],[year]],wos_dyn['#results])</f>
        <v>5</v>
      </c>
    </row>
    <row r="30" spans="1:13" x14ac:dyDescent="0.2">
      <c r="A30" s="1">
        <v>2008</v>
      </c>
      <c r="B30" s="1">
        <v>1</v>
      </c>
      <c r="D30" s="1">
        <v>2008</v>
      </c>
      <c r="E30" s="1">
        <v>2</v>
      </c>
      <c r="G30" s="1">
        <v>2008</v>
      </c>
      <c r="H30" s="1">
        <v>2</v>
      </c>
      <c r="J30" s="1">
        <v>2008</v>
      </c>
      <c r="K30" s="1">
        <f>SUMIF(inspec_dyn[year],all_dyn[[#This Row],[year]],inspec_dyn['#results])</f>
        <v>1</v>
      </c>
      <c r="L30" s="1">
        <f>SUMIF(scopus_dyn[year],all_dyn[[#This Row],[year]],scopus_dyn['#results])</f>
        <v>2</v>
      </c>
      <c r="M30" s="1">
        <f>SUMIF(wos_dyn[year],all_dyn[[#This Row],[year]],wos_dyn['#results])</f>
        <v>2</v>
      </c>
    </row>
    <row r="31" spans="1:13" x14ac:dyDescent="0.2">
      <c r="A31" s="1">
        <v>2006</v>
      </c>
      <c r="B31" s="1">
        <v>1</v>
      </c>
      <c r="D31" s="1">
        <v>2007</v>
      </c>
      <c r="E31" s="1">
        <v>1</v>
      </c>
      <c r="G31" s="1">
        <v>2007</v>
      </c>
      <c r="H31" s="1">
        <v>1</v>
      </c>
      <c r="J31" s="1">
        <v>2007</v>
      </c>
      <c r="K31" s="1">
        <f>SUMIF(inspec_dyn[year],all_dyn[[#This Row],[year]],inspec_dyn['#results])</f>
        <v>0</v>
      </c>
      <c r="L31" s="1">
        <f>SUMIF(scopus_dyn[year],all_dyn[[#This Row],[year]],scopus_dyn['#results])</f>
        <v>1</v>
      </c>
      <c r="M31" s="1">
        <f>SUMIF(wos_dyn[year],all_dyn[[#This Row],[year]],wos_dyn['#results])</f>
        <v>1</v>
      </c>
    </row>
    <row r="32" spans="1:13" x14ac:dyDescent="0.2">
      <c r="A32" s="1">
        <v>2005</v>
      </c>
      <c r="B32" s="1">
        <v>1</v>
      </c>
      <c r="D32" s="1">
        <v>2006</v>
      </c>
      <c r="E32" s="1">
        <v>1</v>
      </c>
      <c r="G32" s="1">
        <v>2006</v>
      </c>
      <c r="H32" s="1">
        <v>1</v>
      </c>
      <c r="J32" s="1">
        <v>2006</v>
      </c>
      <c r="K32" s="1">
        <f>SUMIF(inspec_dyn[year],all_dyn[[#This Row],[year]],inspec_dyn['#results])</f>
        <v>1</v>
      </c>
      <c r="L32" s="1">
        <f>SUMIF(scopus_dyn[year],all_dyn[[#This Row],[year]],scopus_dyn['#results])</f>
        <v>1</v>
      </c>
      <c r="M32" s="1">
        <f>SUMIF(wos_dyn[year],all_dyn[[#This Row],[year]],wos_dyn['#results])</f>
        <v>1</v>
      </c>
    </row>
    <row r="33" spans="1:13" x14ac:dyDescent="0.2">
      <c r="A33" s="1">
        <v>2002</v>
      </c>
      <c r="B33" s="1">
        <v>2</v>
      </c>
      <c r="D33" s="1">
        <v>2005</v>
      </c>
      <c r="E33" s="1">
        <v>1</v>
      </c>
      <c r="G33" s="1">
        <v>2005</v>
      </c>
      <c r="H33" s="1">
        <v>1</v>
      </c>
      <c r="J33" s="1">
        <v>2005</v>
      </c>
      <c r="K33" s="1">
        <f>SUMIF(inspec_dyn[year],all_dyn[[#This Row],[year]],inspec_dyn['#results])</f>
        <v>1</v>
      </c>
      <c r="L33" s="1">
        <f>SUMIF(scopus_dyn[year],all_dyn[[#This Row],[year]],scopus_dyn['#results])</f>
        <v>1</v>
      </c>
      <c r="M33" s="1">
        <f>SUMIF(wos_dyn[year],all_dyn[[#This Row],[year]],wos_dyn['#results])</f>
        <v>1</v>
      </c>
    </row>
    <row r="34" spans="1:13" x14ac:dyDescent="0.2">
      <c r="A34" s="1">
        <v>2001</v>
      </c>
      <c r="B34" s="1">
        <v>1</v>
      </c>
      <c r="D34" s="1">
        <v>2002</v>
      </c>
      <c r="E34" s="1">
        <v>1</v>
      </c>
      <c r="G34" s="1">
        <v>2001</v>
      </c>
      <c r="H34" s="1">
        <v>1</v>
      </c>
      <c r="J34" s="1">
        <v>2004</v>
      </c>
      <c r="K34" s="1">
        <f>SUMIF(inspec_dyn[year],all_dyn[[#This Row],[year]],inspec_dyn['#results])</f>
        <v>0</v>
      </c>
      <c r="L34" s="1">
        <f>SUMIF(scopus_dyn[year],all_dyn[[#This Row],[year]],scopus_dyn['#results])</f>
        <v>0</v>
      </c>
      <c r="M34" s="1">
        <f>SUMIF(wos_dyn[year],all_dyn[[#This Row],[year]],wos_dyn['#results])</f>
        <v>0</v>
      </c>
    </row>
    <row r="35" spans="1:13" x14ac:dyDescent="0.2">
      <c r="A35" s="1">
        <v>1991</v>
      </c>
      <c r="B35" s="1">
        <v>1</v>
      </c>
      <c r="D35" s="1">
        <v>2001</v>
      </c>
      <c r="E35" s="1">
        <v>1</v>
      </c>
      <c r="G35" s="1">
        <v>2000</v>
      </c>
      <c r="H35" s="1">
        <v>1</v>
      </c>
      <c r="J35" s="1">
        <v>2003</v>
      </c>
      <c r="K35" s="1">
        <f>SUMIF(inspec_dyn[year],all_dyn[[#This Row],[year]],inspec_dyn['#results])</f>
        <v>0</v>
      </c>
      <c r="L35" s="1">
        <f>SUMIF(scopus_dyn[year],all_dyn[[#This Row],[year]],scopus_dyn['#results])</f>
        <v>0</v>
      </c>
      <c r="M35" s="1">
        <f>SUMIF(wos_dyn[year],all_dyn[[#This Row],[year]],wos_dyn['#results])</f>
        <v>0</v>
      </c>
    </row>
    <row r="36" spans="1:13" x14ac:dyDescent="0.2">
      <c r="A36" s="1">
        <v>1989</v>
      </c>
      <c r="B36" s="1">
        <v>1</v>
      </c>
      <c r="D36" s="1">
        <v>2000</v>
      </c>
      <c r="E36" s="1">
        <v>1</v>
      </c>
      <c r="G36" s="1">
        <v>1998</v>
      </c>
      <c r="H36" s="1">
        <v>2</v>
      </c>
      <c r="J36" s="1">
        <v>2002</v>
      </c>
      <c r="K36" s="1">
        <f>SUMIF(inspec_dyn[year],all_dyn[[#This Row],[year]],inspec_dyn['#results])</f>
        <v>2</v>
      </c>
      <c r="L36" s="1">
        <f>SUMIF(scopus_dyn[year],all_dyn[[#This Row],[year]],scopus_dyn['#results])</f>
        <v>1</v>
      </c>
      <c r="M36" s="1">
        <f>SUMIF(wos_dyn[year],all_dyn[[#This Row],[year]],wos_dyn['#results])</f>
        <v>0</v>
      </c>
    </row>
    <row r="37" spans="1:13" x14ac:dyDescent="0.2">
      <c r="D37" s="1">
        <v>1998</v>
      </c>
      <c r="E37" s="1">
        <v>2</v>
      </c>
      <c r="J37" s="1">
        <v>2001</v>
      </c>
      <c r="K37" s="1">
        <f>SUMIF(inspec_dyn[year],all_dyn[[#This Row],[year]],inspec_dyn['#results])</f>
        <v>1</v>
      </c>
      <c r="L37" s="1">
        <f>SUMIF(scopus_dyn[year],all_dyn[[#This Row],[year]],scopus_dyn['#results])</f>
        <v>1</v>
      </c>
      <c r="M37" s="1">
        <f>SUMIF(wos_dyn[year],all_dyn[[#This Row],[year]],wos_dyn['#results])</f>
        <v>1</v>
      </c>
    </row>
    <row r="38" spans="1:13" x14ac:dyDescent="0.2">
      <c r="D38" s="1">
        <v>1989</v>
      </c>
      <c r="E38" s="1">
        <v>1</v>
      </c>
      <c r="J38" s="1">
        <v>2000</v>
      </c>
      <c r="K38" s="1">
        <f>SUMIF(inspec_dyn[year],all_dyn[[#This Row],[year]],inspec_dyn['#results])</f>
        <v>0</v>
      </c>
      <c r="L38" s="1">
        <f>SUMIF(scopus_dyn[year],all_dyn[[#This Row],[year]],scopus_dyn['#results])</f>
        <v>1</v>
      </c>
      <c r="M38" s="1">
        <f>SUMIF(wos_dyn[year],all_dyn[[#This Row],[year]],wos_dyn['#results])</f>
        <v>1</v>
      </c>
    </row>
    <row r="39" spans="1:13" x14ac:dyDescent="0.2">
      <c r="J39" s="1">
        <v>1999</v>
      </c>
      <c r="K39" s="1">
        <f>SUMIF(inspec_dyn[year],all_dyn[[#This Row],[year]],inspec_dyn['#results])</f>
        <v>0</v>
      </c>
      <c r="L39" s="1">
        <f>SUMIF(scopus_dyn[year],all_dyn[[#This Row],[year]],scopus_dyn['#results])</f>
        <v>0</v>
      </c>
      <c r="M39" s="1">
        <f>SUMIF(wos_dyn[year],all_dyn[[#This Row],[year]],wos_dyn['#results])</f>
        <v>0</v>
      </c>
    </row>
    <row r="40" spans="1:13" x14ac:dyDescent="0.2">
      <c r="J40" s="1">
        <v>1998</v>
      </c>
      <c r="K40" s="1">
        <f>SUMIF(inspec_dyn[year],all_dyn[[#This Row],[year]],inspec_dyn['#results])</f>
        <v>0</v>
      </c>
      <c r="L40" s="1">
        <f>SUMIF(scopus_dyn[year],all_dyn[[#This Row],[year]],scopus_dyn['#results])</f>
        <v>2</v>
      </c>
      <c r="M40" s="1">
        <f>SUMIF(wos_dyn[year],all_dyn[[#This Row],[year]],wos_dyn['#results])</f>
        <v>2</v>
      </c>
    </row>
    <row r="41" spans="1:13" x14ac:dyDescent="0.2">
      <c r="J41" s="1">
        <v>1997</v>
      </c>
      <c r="K41" s="1">
        <f>SUMIF(inspec_dyn[year],all_dyn[[#This Row],[year]],inspec_dyn['#results])</f>
        <v>0</v>
      </c>
      <c r="L41" s="1">
        <f>SUMIF(scopus_dyn[year],all_dyn[[#This Row],[year]],scopus_dyn['#results])</f>
        <v>0</v>
      </c>
      <c r="M41" s="1">
        <f>SUMIF(wos_dyn[year],all_dyn[[#This Row],[year]],wos_dyn['#results])</f>
        <v>0</v>
      </c>
    </row>
    <row r="42" spans="1:13" x14ac:dyDescent="0.2">
      <c r="J42" s="1">
        <v>1996</v>
      </c>
      <c r="K42" s="1">
        <f>SUMIF(inspec_dyn[year],all_dyn[[#This Row],[year]],inspec_dyn['#results])</f>
        <v>0</v>
      </c>
      <c r="L42" s="1">
        <f>SUMIF(scopus_dyn[year],all_dyn[[#This Row],[year]],scopus_dyn['#results])</f>
        <v>0</v>
      </c>
      <c r="M42" s="1">
        <f>SUMIF(wos_dyn[year],all_dyn[[#This Row],[year]],wos_dyn['#results])</f>
        <v>0</v>
      </c>
    </row>
    <row r="43" spans="1:13" x14ac:dyDescent="0.2">
      <c r="J43" s="1">
        <v>1995</v>
      </c>
      <c r="K43" s="1">
        <f>SUMIF(inspec_dyn[year],all_dyn[[#This Row],[year]],inspec_dyn['#results])</f>
        <v>0</v>
      </c>
      <c r="L43" s="1">
        <f>SUMIF(scopus_dyn[year],all_dyn[[#This Row],[year]],scopus_dyn['#results])</f>
        <v>0</v>
      </c>
      <c r="M43" s="1">
        <f>SUMIF(wos_dyn[year],all_dyn[[#This Row],[year]],wos_dyn['#results])</f>
        <v>0</v>
      </c>
    </row>
    <row r="44" spans="1:13" x14ac:dyDescent="0.2">
      <c r="J44" s="1">
        <v>1994</v>
      </c>
      <c r="K44" s="1">
        <f>SUMIF(inspec_dyn[year],all_dyn[[#This Row],[year]],inspec_dyn['#results])</f>
        <v>0</v>
      </c>
      <c r="L44" s="1">
        <f>SUMIF(scopus_dyn[year],all_dyn[[#This Row],[year]],scopus_dyn['#results])</f>
        <v>0</v>
      </c>
      <c r="M44" s="1">
        <f>SUMIF(wos_dyn[year],all_dyn[[#This Row],[year]],wos_dyn['#results])</f>
        <v>0</v>
      </c>
    </row>
    <row r="45" spans="1:13" x14ac:dyDescent="0.2">
      <c r="J45" s="1">
        <v>1993</v>
      </c>
      <c r="K45" s="1">
        <f>SUMIF(inspec_dyn[year],all_dyn[[#This Row],[year]],inspec_dyn['#results])</f>
        <v>0</v>
      </c>
      <c r="L45" s="1">
        <f>SUMIF(scopus_dyn[year],all_dyn[[#This Row],[year]],scopus_dyn['#results])</f>
        <v>0</v>
      </c>
      <c r="M45" s="1">
        <f>SUMIF(wos_dyn[year],all_dyn[[#This Row],[year]],wos_dyn['#results])</f>
        <v>0</v>
      </c>
    </row>
    <row r="46" spans="1:13" x14ac:dyDescent="0.2">
      <c r="J46" s="1">
        <v>1992</v>
      </c>
      <c r="K46" s="1">
        <f>SUMIF(inspec_dyn[year],all_dyn[[#This Row],[year]],inspec_dyn['#results])</f>
        <v>0</v>
      </c>
      <c r="L46" s="1">
        <f>SUMIF(scopus_dyn[year],all_dyn[[#This Row],[year]],scopus_dyn['#results])</f>
        <v>0</v>
      </c>
      <c r="M46" s="1">
        <f>SUMIF(wos_dyn[year],all_dyn[[#This Row],[year]],wos_dyn['#results])</f>
        <v>0</v>
      </c>
    </row>
    <row r="47" spans="1:13" x14ac:dyDescent="0.2">
      <c r="J47" s="1">
        <v>1991</v>
      </c>
      <c r="K47" s="1">
        <f>SUMIF(inspec_dyn[year],all_dyn[[#This Row],[year]],inspec_dyn['#results])</f>
        <v>1</v>
      </c>
      <c r="L47" s="1">
        <f>SUMIF(scopus_dyn[year],all_dyn[[#This Row],[year]],scopus_dyn['#results])</f>
        <v>0</v>
      </c>
      <c r="M47" s="1">
        <f>SUMIF(wos_dyn[year],all_dyn[[#This Row],[year]],wos_dyn['#results])</f>
        <v>0</v>
      </c>
    </row>
    <row r="48" spans="1:13" x14ac:dyDescent="0.2">
      <c r="J48" s="1">
        <v>1990</v>
      </c>
      <c r="K48" s="1">
        <f>SUMIF(inspec_dyn[year],all_dyn[[#This Row],[year]],inspec_dyn['#results])</f>
        <v>0</v>
      </c>
      <c r="L48" s="1">
        <f>SUMIF(scopus_dyn[year],all_dyn[[#This Row],[year]],scopus_dyn['#results])</f>
        <v>0</v>
      </c>
      <c r="M48" s="1">
        <f>SUMIF(wos_dyn[year],all_dyn[[#This Row],[year]],wos_dyn['#results])</f>
        <v>0</v>
      </c>
    </row>
    <row r="49" spans="10:13" x14ac:dyDescent="0.2">
      <c r="J49" s="1">
        <v>1989</v>
      </c>
      <c r="K49" s="1">
        <f>SUMIF(inspec_dyn[year],all_dyn[[#This Row],[year]],inspec_dyn['#results])</f>
        <v>1</v>
      </c>
      <c r="L49" s="1">
        <f>SUMIF(scopus_dyn[year],all_dyn[[#This Row],[year]],scopus_dyn['#results])</f>
        <v>1</v>
      </c>
      <c r="M49" s="1">
        <f>SUMIF(wos_dyn[year],all_dyn[[#This Row],[year]],wos_dyn['#results])</f>
        <v>0</v>
      </c>
    </row>
    <row r="50" spans="10:13" x14ac:dyDescent="0.2">
      <c r="J50" s="1">
        <v>1988</v>
      </c>
      <c r="K50" s="1">
        <f>SUMIF(inspec_dyn[year],all_dyn[[#This Row],[year]],inspec_dyn['#results])</f>
        <v>0</v>
      </c>
      <c r="L50" s="1">
        <f>SUMIF(scopus_dyn[year],all_dyn[[#This Row],[year]],scopus_dyn['#results])</f>
        <v>0</v>
      </c>
      <c r="M50" s="1">
        <f>SUMIF(wos_dyn[year],all_dyn[[#This Row],[year]],wos_dyn['#results])</f>
        <v>0</v>
      </c>
    </row>
    <row r="51" spans="10:13" x14ac:dyDescent="0.2">
      <c r="J51" s="1">
        <v>1987</v>
      </c>
      <c r="K51" s="1">
        <f>SUMIF(inspec_dyn[year],all_dyn[[#This Row],[year]],inspec_dyn['#results])</f>
        <v>0</v>
      </c>
      <c r="L51" s="1">
        <f>SUMIF(scopus_dyn[year],all_dyn[[#This Row],[year]],scopus_dyn['#results])</f>
        <v>0</v>
      </c>
      <c r="M51" s="1">
        <f>SUMIF(wos_dyn[year],all_dyn[[#This Row],[year]],wos_dyn['#results])</f>
        <v>0</v>
      </c>
    </row>
    <row r="52" spans="10:13" x14ac:dyDescent="0.2">
      <c r="J52" s="1">
        <v>1986</v>
      </c>
      <c r="K52" s="1">
        <f>SUMIF(inspec_dyn[year],all_dyn[[#This Row],[year]],inspec_dyn['#results])</f>
        <v>0</v>
      </c>
      <c r="L52" s="1">
        <f>SUMIF(scopus_dyn[year],all_dyn[[#This Row],[year]],scopus_dyn['#results])</f>
        <v>0</v>
      </c>
      <c r="M52" s="1">
        <f>SUMIF(wos_dyn[year],all_dyn[[#This Row],[year]],wos_dyn['#results])</f>
        <v>0</v>
      </c>
    </row>
    <row r="53" spans="10:13" x14ac:dyDescent="0.2">
      <c r="J53" s="1">
        <v>1985</v>
      </c>
      <c r="K53" s="1">
        <f>SUMIF(inspec_dyn[year],all_dyn[[#This Row],[year]],inspec_dyn['#results])</f>
        <v>0</v>
      </c>
      <c r="L53" s="1">
        <f>SUMIF(scopus_dyn[year],all_dyn[[#This Row],[year]],scopus_dyn['#results])</f>
        <v>0</v>
      </c>
      <c r="M53" s="1">
        <f>SUMIF(wos_dyn[year],all_dyn[[#This Row],[year]],wos_dyn['#results])</f>
        <v>0</v>
      </c>
    </row>
    <row r="54" spans="10:13" x14ac:dyDescent="0.2">
      <c r="J54" s="1">
        <v>1984</v>
      </c>
      <c r="K54" s="1">
        <f>SUMIF(inspec_dyn[year],all_dyn[[#This Row],[year]],inspec_dyn['#results])</f>
        <v>0</v>
      </c>
      <c r="L54" s="1">
        <f>SUMIF(scopus_dyn[year],all_dyn[[#This Row],[year]],scopus_dyn['#results])</f>
        <v>0</v>
      </c>
      <c r="M54" s="1">
        <f>SUMIF(wos_dyn[year],all_dyn[[#This Row],[year]],wos_dyn['#results])</f>
        <v>0</v>
      </c>
    </row>
    <row r="55" spans="10:13" x14ac:dyDescent="0.2">
      <c r="J55" s="1">
        <v>1983</v>
      </c>
      <c r="K55" s="1">
        <f>SUMIF(inspec_dyn[year],all_dyn[[#This Row],[year]],inspec_dyn['#results])</f>
        <v>0</v>
      </c>
      <c r="L55" s="1">
        <f>SUMIF(scopus_dyn[year],all_dyn[[#This Row],[year]],scopus_dyn['#results])</f>
        <v>0</v>
      </c>
      <c r="M55" s="1">
        <f>SUMIF(wos_dyn[year],all_dyn[[#This Row],[year]],wos_dyn['#results])</f>
        <v>0</v>
      </c>
    </row>
    <row r="56" spans="10:13" x14ac:dyDescent="0.2">
      <c r="J56" s="1">
        <v>1982</v>
      </c>
      <c r="K56" s="1">
        <f>SUMIF(inspec_dyn[year],all_dyn[[#This Row],[year]],inspec_dyn['#results])</f>
        <v>0</v>
      </c>
      <c r="L56" s="1">
        <f>SUMIF(scopus_dyn[year],all_dyn[[#This Row],[year]],scopus_dyn['#results])</f>
        <v>0</v>
      </c>
      <c r="M56" s="1">
        <f>SUMIF(wos_dyn[year],all_dyn[[#This Row],[year]],wos_dyn['#results])</f>
        <v>0</v>
      </c>
    </row>
    <row r="57" spans="10:13" x14ac:dyDescent="0.2">
      <c r="J57" s="1">
        <v>1981</v>
      </c>
      <c r="K57" s="1">
        <f>SUMIF(inspec_dyn[year],all_dyn[[#This Row],[year]],inspec_dyn['#results])</f>
        <v>0</v>
      </c>
      <c r="L57" s="1">
        <f>SUMIF(scopus_dyn[year],all_dyn[[#This Row],[year]],scopus_dyn['#results])</f>
        <v>0</v>
      </c>
      <c r="M57" s="1">
        <f>SUMIF(wos_dyn[year],all_dyn[[#This Row],[year]],wos_dyn['#results])</f>
        <v>0</v>
      </c>
    </row>
    <row r="58" spans="10:13" x14ac:dyDescent="0.2">
      <c r="J58" s="1">
        <v>1980</v>
      </c>
      <c r="K58" s="1">
        <f>SUMIF(inspec_dyn[year],all_dyn[[#This Row],[year]],inspec_dyn['#results])</f>
        <v>0</v>
      </c>
      <c r="L58" s="1">
        <f>SUMIF(scopus_dyn[year],all_dyn[[#This Row],[year]],scopus_dyn['#results])</f>
        <v>0</v>
      </c>
      <c r="M58" s="1">
        <f>SUMIF(wos_dyn[year],all_dyn[[#This Row],[year]],wos_dyn['#results])</f>
        <v>0</v>
      </c>
    </row>
    <row r="59" spans="10:13" x14ac:dyDescent="0.2">
      <c r="J59" s="1">
        <v>1979</v>
      </c>
      <c r="K59" s="1">
        <f>SUMIF(inspec_dyn[year],all_dyn[[#This Row],[year]],inspec_dyn['#results])</f>
        <v>0</v>
      </c>
      <c r="L59" s="1">
        <f>SUMIF(scopus_dyn[year],all_dyn[[#This Row],[year]],scopus_dyn['#results])</f>
        <v>0</v>
      </c>
      <c r="M59" s="1">
        <f>SUMIF(wos_dyn[year],all_dyn[[#This Row],[year]],wos_dyn['#results])</f>
        <v>0</v>
      </c>
    </row>
    <row r="60" spans="10:13" x14ac:dyDescent="0.2">
      <c r="J60" s="1">
        <v>1978</v>
      </c>
      <c r="K60" s="1">
        <f>SUMIF(inspec_dyn[year],all_dyn[[#This Row],[year]],inspec_dyn['#results])</f>
        <v>0</v>
      </c>
      <c r="L60" s="1">
        <f>SUMIF(scopus_dyn[year],all_dyn[[#This Row],[year]],scopus_dyn['#results])</f>
        <v>0</v>
      </c>
      <c r="M60" s="1">
        <f>SUMIF(wos_dyn[year],all_dyn[[#This Row],[year]],wos_dyn['#results])</f>
        <v>0</v>
      </c>
    </row>
    <row r="61" spans="10:13" x14ac:dyDescent="0.2">
      <c r="J61" s="1">
        <v>1977</v>
      </c>
      <c r="K61" s="1">
        <f>SUMIF(inspec_dyn[year],all_dyn[[#This Row],[year]],inspec_dyn['#results])</f>
        <v>0</v>
      </c>
      <c r="L61" s="1">
        <f>SUMIF(scopus_dyn[year],all_dyn[[#This Row],[year]],scopus_dyn['#results])</f>
        <v>0</v>
      </c>
      <c r="M61" s="1">
        <f>SUMIF(wos_dyn[year],all_dyn[[#This Row],[year]],wos_dyn['#results])</f>
        <v>0</v>
      </c>
    </row>
    <row r="62" spans="10:13" x14ac:dyDescent="0.2">
      <c r="J62" s="1">
        <v>1976</v>
      </c>
      <c r="K62" s="1">
        <f>SUMIF(inspec_dyn[year],all_dyn[[#This Row],[year]],inspec_dyn['#results])</f>
        <v>0</v>
      </c>
      <c r="L62" s="1">
        <f>SUMIF(scopus_dyn[year],all_dyn[[#This Row],[year]],scopus_dyn['#results])</f>
        <v>0</v>
      </c>
      <c r="M62" s="1">
        <f>SUMIF(wos_dyn[year],all_dyn[[#This Row],[year]],wos_dyn['#results])</f>
        <v>0</v>
      </c>
    </row>
    <row r="63" spans="10:13" x14ac:dyDescent="0.2">
      <c r="J63" s="1">
        <v>1975</v>
      </c>
      <c r="K63" s="1">
        <f>SUMIF(inspec_dyn[year],all_dyn[[#This Row],[year]],inspec_dyn['#results])</f>
        <v>0</v>
      </c>
      <c r="L63" s="1">
        <f>SUMIF(scopus_dyn[year],all_dyn[[#This Row],[year]],scopus_dyn['#results])</f>
        <v>0</v>
      </c>
      <c r="M63" s="1">
        <f>SUMIF(wos_dyn[year],all_dyn[[#This Row],[year]],wos_dyn['#results])</f>
        <v>0</v>
      </c>
    </row>
    <row r="64" spans="10:13" x14ac:dyDescent="0.2">
      <c r="J64" s="1">
        <v>1974</v>
      </c>
      <c r="K64" s="1">
        <f>SUMIF(inspec_dyn[year],all_dyn[[#This Row],[year]],inspec_dyn['#results])</f>
        <v>0</v>
      </c>
      <c r="L64" s="1">
        <f>SUMIF(scopus_dyn[year],all_dyn[[#This Row],[year]],scopus_dyn['#results])</f>
        <v>0</v>
      </c>
      <c r="M64" s="1">
        <f>SUMIF(wos_dyn[year],all_dyn[[#This Row],[year]],wos_dyn['#results])</f>
        <v>0</v>
      </c>
    </row>
    <row r="65" spans="10:13" x14ac:dyDescent="0.2">
      <c r="J65" s="1">
        <v>1973</v>
      </c>
      <c r="K65" s="4">
        <f>SUMIF(inspec_dyn[year],all_dyn[[#This Row],[year]],inspec_dyn['#results])</f>
        <v>0</v>
      </c>
      <c r="L65" s="4">
        <f>SUMIF(scopus_dyn[year],all_dyn[[#This Row],[year]],scopus_dyn['#results])</f>
        <v>0</v>
      </c>
      <c r="M65" s="4">
        <f>SUMIF(wos_dyn[year],all_dyn[[#This Row],[year]],wos_dyn['#results])</f>
        <v>0</v>
      </c>
    </row>
    <row r="66" spans="10:13" x14ac:dyDescent="0.2">
      <c r="J66" s="1">
        <v>1972</v>
      </c>
      <c r="K66" s="4">
        <f>SUMIF(inspec_dyn[year],all_dyn[[#This Row],[year]],inspec_dyn['#results])</f>
        <v>0</v>
      </c>
      <c r="L66" s="4">
        <f>SUMIF(scopus_dyn[year],all_dyn[[#This Row],[year]],scopus_dyn['#results])</f>
        <v>0</v>
      </c>
      <c r="M66" s="4">
        <f>SUMIF(wos_dyn[year],all_dyn[[#This Row],[year]],wos_dyn['#results])</f>
        <v>0</v>
      </c>
    </row>
    <row r="67" spans="10:13" x14ac:dyDescent="0.2">
      <c r="J67" s="5" t="s">
        <v>15</v>
      </c>
      <c r="K67" s="1">
        <f>SUM(all_dyn[[#All],[inspec]])</f>
        <v>128</v>
      </c>
      <c r="L67" s="1">
        <f>SUM(all_dyn[[#All],[scopus]])</f>
        <v>161</v>
      </c>
      <c r="M67" s="1">
        <f>SUM(all_dyn[[#All],[wos]])</f>
        <v>126</v>
      </c>
    </row>
  </sheetData>
  <pageMargins left="0.7" right="0.7" top="0.75" bottom="0.75" header="0.3" footer="0.3"/>
  <pageSetup paperSize="9" orientation="portrait" horizontalDpi="0" verticalDpi="0" r:id="rId1"/>
  <drawing r:id="rId2"/>
  <tableParts count="4"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dynamic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Barbosa Sousa</dc:creator>
  <cp:lastModifiedBy>Ricardo Barbosa Sousa</cp:lastModifiedBy>
  <dcterms:created xsi:type="dcterms:W3CDTF">2015-06-05T18:17:20Z</dcterms:created>
  <dcterms:modified xsi:type="dcterms:W3CDTF">2022-10-25T10:53:45Z</dcterms:modified>
</cp:coreProperties>
</file>